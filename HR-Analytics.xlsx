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10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licers/slicer9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 firstSheet="9" activeTab="10"/>
  </bookViews>
  <sheets>
    <sheet name="HR Data" sheetId="1" r:id="rId1"/>
    <sheet name="count of Attrition" sheetId="2" r:id="rId2"/>
    <sheet name="sum of employee ID" sheetId="3" r:id="rId3"/>
    <sheet name="Average (Salary,Years )" sheetId="4" r:id="rId4"/>
    <sheet name="count of employee" sheetId="5" r:id="rId5"/>
    <sheet name="Depatment" sheetId="6" r:id="rId6"/>
    <sheet name="Average Salary" sheetId="7" r:id="rId7"/>
    <sheet name="Average Job Satisfaction" sheetId="8" r:id="rId8"/>
    <sheet name="Salary by Department" sheetId="9" r:id="rId9"/>
    <sheet name="Average salary by department" sheetId="10" r:id="rId10"/>
    <sheet name="Dashboard" sheetId="11" r:id="rId11"/>
  </sheets>
  <definedNames>
    <definedName name="Slicer_EmployeeID">#N/A</definedName>
    <definedName name="Slicer_Attrition2">#N/A</definedName>
    <definedName name="Slicer_Department4">#N/A</definedName>
    <definedName name="Slicer_Gender5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6"/>
        <x14:slicerCache r:id="rId15"/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<sst xmlns="http://schemas.openxmlformats.org/spreadsheetml/2006/main" count="880" uniqueCount="40">
  <si>
    <t>EmployeeID</t>
  </si>
  <si>
    <t>Age</t>
  </si>
  <si>
    <t>Gender</t>
  </si>
  <si>
    <t>Department</t>
  </si>
  <si>
    <t>JobRole</t>
  </si>
  <si>
    <t>Salary</t>
  </si>
  <si>
    <t>YearsAtCompany</t>
  </si>
  <si>
    <t>Attrition</t>
  </si>
  <si>
    <t>JobSatisfaction</t>
  </si>
  <si>
    <t>Female</t>
  </si>
  <si>
    <t>IT</t>
  </si>
  <si>
    <t>Specialist</t>
  </si>
  <si>
    <t>No</t>
  </si>
  <si>
    <t>Male</t>
  </si>
  <si>
    <t>Finance</t>
  </si>
  <si>
    <t>Coordinator</t>
  </si>
  <si>
    <t>Yes</t>
  </si>
  <si>
    <t>Marketing</t>
  </si>
  <si>
    <t>Analyst</t>
  </si>
  <si>
    <t>Manager</t>
  </si>
  <si>
    <t>HR</t>
  </si>
  <si>
    <t>Executive</t>
  </si>
  <si>
    <t>Sales</t>
  </si>
  <si>
    <t>Count of EmployeeID</t>
  </si>
  <si>
    <t>Grand Total</t>
  </si>
  <si>
    <t>Sum of EmployeeID</t>
  </si>
  <si>
    <t>Average of YearsAtCompany</t>
  </si>
  <si>
    <t>Average of Salary</t>
  </si>
  <si>
    <t>Count of Attrition</t>
  </si>
  <si>
    <t>Average of JobSatisfaction</t>
  </si>
  <si>
    <t>Sum of Salary</t>
  </si>
  <si>
    <t>Dashboard</t>
  </si>
  <si>
    <t>Average of salary</t>
  </si>
  <si>
    <t>Average of years at company</t>
  </si>
  <si>
    <t>Max of salary</t>
  </si>
  <si>
    <t>Max of years at company</t>
  </si>
  <si>
    <t>Min of salary</t>
  </si>
  <si>
    <t>Min of years at company</t>
  </si>
  <si>
    <t>Median</t>
  </si>
  <si>
    <t>Median of years at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</si>
</sst>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);[Red]\(0.00\)"/>
    <numFmt numFmtId="180" formatCode="0.0%"/>
  </numFmts>
  <fonts count="29">
    <font>
      <sz val="11"/>
      <color theme="1"/>
      <name val="Calibri"/>
      <charset val="134"/>
      <scheme val="minor"/>
    </font>
    <font>
      <b/>
      <i/>
      <u/>
      <sz val="20"/>
      <color theme="0"/>
      <name val="Calibri"/>
      <charset val="134"/>
      <scheme val="minor"/>
    </font>
    <font>
      <i/>
      <sz val="22"/>
      <color theme="0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sz val="24"/>
      <name val="Calibri"/>
      <charset val="134"/>
      <scheme val="minor"/>
    </font>
    <font>
      <i/>
      <sz val="2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8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78" fontId="0" fillId="0" borderId="0" xfId="0" applyNumberFormat="1"/>
    <xf numFmtId="179" fontId="0" fillId="0" borderId="0" xfId="0" applyNumberFormat="1"/>
    <xf numFmtId="8" fontId="0" fillId="0" borderId="0" xfId="0" applyNumberFormat="1"/>
    <xf numFmtId="0" fontId="0" fillId="0" borderId="0" xfId="0" applyNumberFormat="1"/>
    <xf numFmtId="180" fontId="0" fillId="0" borderId="0" xfId="3" applyNumberFormat="1"/>
    <xf numFmtId="180" fontId="0" fillId="0" borderId="0" xfId="0" applyNumberFormat="1"/>
    <xf numFmtId="9" fontId="0" fillId="0" borderId="0" xfId="3"/>
    <xf numFmtId="0" fontId="7" fillId="2" borderId="3" xfId="0" applyFont="1" applyFill="1" applyBorder="1"/>
    <xf numFmtId="0" fontId="8" fillId="0" borderId="3" xfId="0" applyFont="1" applyBorder="1"/>
    <xf numFmtId="0" fontId="8" fillId="0" borderId="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8">
    <dxf>
      <numFmt numFmtId="0" formatCode="General"/>
    </dxf>
    <dxf>
      <numFmt numFmtId="10" formatCode="0.00%"/>
    </dxf>
    <dxf>
      <numFmt numFmtId="10" formatCode="0.00%"/>
    </dxf>
    <dxf>
      <numFmt numFmtId="180" formatCode="0.0%"/>
    </dxf>
    <dxf>
      <numFmt numFmtId="9" formatCode="0%"/>
    </dxf>
    <dxf>
      <numFmt numFmtId="180" formatCode="0.0%"/>
    </dxf>
    <dxf>
      <numFmt numFmtId="0" formatCode="General"/>
    </dxf>
    <dxf>
      <numFmt numFmtId="10" formatCode="0.00%"/>
    </dxf>
    <dxf>
      <numFmt numFmtId="10" formatCode="0.00%"/>
    </dxf>
    <dxf>
      <numFmt numFmtId="180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80" formatCode="0.0%"/>
    </dxf>
    <dxf>
      <numFmt numFmtId="180" formatCode="0.0%"/>
    </dxf>
    <dxf>
      <numFmt numFmtId="179" formatCode="0.00_);[Red]\(0.00\)"/>
    </dxf>
    <dxf>
      <numFmt numFmtId="8" formatCode="&quot;$&quot;#,##0.00_);[Red]\(&quot;$&quot;#,##0.00\)"/>
    </dxf>
    <dxf>
      <numFmt numFmtId="181" formatCode="&quot;$&quot;#,##0.0_);[Red]\(&quot;$&quot;#,##0.0\)"/>
    </dxf>
    <dxf>
      <numFmt numFmtId="6" formatCode="&quot;$&quot;#,##0_);[Red]\(&quot;$&quot;#,##0\)"/>
    </dxf>
    <dxf>
      <numFmt numFmtId="182" formatCode="&quot;$&quot;#,##0.0_);[Red]\(&quot;$&quot;#,##0.0\)"/>
    </dxf>
    <dxf>
      <numFmt numFmtId="8" formatCode="&quot;$&quot;#,##0.00_);[Red]\(&quot;$&quot;#,##0.00\)"/>
    </dxf>
    <dxf>
      <numFmt numFmtId="183" formatCode="&quot;$&quot;#,##0.000_);[Red]\(&quot;$&quot;#,##0.000\)"/>
    </dxf>
    <dxf>
      <numFmt numFmtId="184" formatCode="&quot;$&quot;#,##0.0000_);[Red]\(&quot;$&quot;#,##0.0000\)"/>
    </dxf>
    <dxf>
      <numFmt numFmtId="185" formatCode="&quot;$&quot;#,##0.00000_);[Red]\(&quot;$&quot;#,##0.00000\)"/>
    </dxf>
    <dxf>
      <numFmt numFmtId="186" formatCode="&quot;$&quot;#,##0.000000_);[Red]\(&quot;$&quot;#,##0.000000\)"/>
    </dxf>
    <dxf>
      <numFmt numFmtId="187" formatCode="&quot;$&quot;#,##0.0000000_);[Red]\(&quot;$&quot;#,##0.0000000\)"/>
    </dxf>
    <dxf>
      <numFmt numFmtId="188" formatCode="&quot;$&quot;#,##0.00000000_);[Red]\(&quot;$&quot;#,##0.00000000\)"/>
    </dxf>
    <dxf>
      <numFmt numFmtId="189" formatCode="&quot;$&quot;#,##0.0000000_);[Red]\(&quot;$&quot;#,##0.0000000\)"/>
    </dxf>
    <dxf>
      <numFmt numFmtId="190" formatCode="&quot;$&quot;#,##0.000000_);[Red]\(&quot;$&quot;#,##0.000000\)"/>
    </dxf>
    <dxf>
      <numFmt numFmtId="191" formatCode="&quot;$&quot;#,##0.00000_);[Red]\(&quot;$&quot;#,##0.00000\)"/>
    </dxf>
    <dxf>
      <numFmt numFmtId="192" formatCode="&quot;$&quot;#,##0.0000_);[Red]\(&quot;$&quot;#,##0.0000\)"/>
    </dxf>
    <dxf>
      <numFmt numFmtId="193" formatCode="&quot;$&quot;#,##0.000_);[Red]\(&quot;$&quot;#,##0.000\)"/>
    </dxf>
    <dxf>
      <numFmt numFmtId="8" formatCode="&quot;$&quot;#,##0.00_);[Red]\(&quot;$&quot;#,##0.00\)"/>
    </dxf>
    <dxf>
      <numFmt numFmtId="194" formatCode="0.0000_ "/>
    </dxf>
    <dxf>
      <numFmt numFmtId="195" formatCode="0.000_ "/>
    </dxf>
    <dxf>
      <numFmt numFmtId="196" formatCode="0.00_ "/>
    </dxf>
    <dxf>
      <numFmt numFmtId="178" formatCode="0.0_ "/>
    </dxf>
    <dxf>
      <numFmt numFmtId="197" formatCode="0.00000000_ "/>
    </dxf>
    <dxf>
      <numFmt numFmtId="198" formatCode="0.00000000_ "/>
    </dxf>
    <dxf>
      <numFmt numFmtId="199" formatCode="0.00000000_ "/>
    </dxf>
    <dxf>
      <numFmt numFmtId="200" formatCode="0.00000000_ "/>
    </dxf>
    <dxf>
      <numFmt numFmtId="201" formatCode="0.00000000_ "/>
    </dxf>
    <dxf>
      <numFmt numFmtId="202" formatCode="0.0000000_ "/>
    </dxf>
    <dxf>
      <numFmt numFmtId="203" formatCode="0.0000000_ "/>
    </dxf>
    <dxf>
      <numFmt numFmtId="204" formatCode="0.0000000_ "/>
    </dxf>
    <dxf>
      <numFmt numFmtId="205" formatCode="0.0000000_ "/>
    </dxf>
    <dxf>
      <numFmt numFmtId="206" formatCode="0.0000000_ "/>
    </dxf>
    <dxf>
      <numFmt numFmtId="207" formatCode="0.000000_ "/>
    </dxf>
    <dxf>
      <numFmt numFmtId="208" formatCode="0.000000_ "/>
    </dxf>
    <dxf>
      <numFmt numFmtId="209" formatCode="0.000000_ "/>
    </dxf>
    <dxf>
      <numFmt numFmtId="210" formatCode="0.000000_ "/>
    </dxf>
    <dxf>
      <numFmt numFmtId="211" formatCode="0.000000_ "/>
    </dxf>
    <dxf>
      <numFmt numFmtId="212" formatCode="0.00000_ "/>
    </dxf>
    <dxf>
      <numFmt numFmtId="213" formatCode="0.00000_ "/>
    </dxf>
    <dxf>
      <numFmt numFmtId="214" formatCode="0.00000_ "/>
    </dxf>
    <dxf>
      <numFmt numFmtId="215" formatCode="0.00000_ "/>
    </dxf>
    <dxf>
      <numFmt numFmtId="216" formatCode="0.00000_ "/>
    </dxf>
    <dxf>
      <numFmt numFmtId="217" formatCode="0.0000_ "/>
    </dxf>
    <dxf>
      <numFmt numFmtId="218" formatCode="0.0000_ "/>
    </dxf>
    <dxf>
      <numFmt numFmtId="219" formatCode="0.0000_ "/>
    </dxf>
    <dxf>
      <numFmt numFmtId="220" formatCode="0.0000_ "/>
    </dxf>
    <dxf>
      <numFmt numFmtId="221" formatCode="0.0000_ "/>
    </dxf>
    <dxf>
      <numFmt numFmtId="222" formatCode="0.000_ "/>
    </dxf>
    <dxf>
      <numFmt numFmtId="223" formatCode="0.000_ "/>
    </dxf>
    <dxf>
      <numFmt numFmtId="224" formatCode="0.000_ "/>
    </dxf>
    <dxf>
      <numFmt numFmtId="225" formatCode="0.000_ "/>
    </dxf>
    <dxf>
      <numFmt numFmtId="226" formatCode="0.000_ "/>
    </dxf>
    <dxf>
      <numFmt numFmtId="227" formatCode="0.00_ "/>
    </dxf>
    <dxf>
      <numFmt numFmtId="228" formatCode="0.00_ "/>
    </dxf>
    <dxf>
      <numFmt numFmtId="229" formatCode="0.00_ "/>
    </dxf>
    <dxf>
      <numFmt numFmtId="230" formatCode="0.00_ "/>
    </dxf>
    <dxf>
      <numFmt numFmtId="231" formatCode="0.00_ "/>
    </dxf>
    <dxf>
      <numFmt numFmtId="178" formatCode="0.0_ "/>
    </dxf>
    <dxf>
      <numFmt numFmtId="178" formatCode="0.0_ "/>
    </dxf>
    <dxf>
      <numFmt numFmtId="178" formatCode="0.0_ "/>
    </dxf>
    <dxf>
      <numFmt numFmtId="178" formatCode="0.0_ "/>
    </dxf>
    <dxf>
      <numFmt numFmtId="178" formatCode="0.0_ "/>
    </dxf>
    <dxf>
      <numFmt numFmtId="232" formatCode="0.0000_ "/>
    </dxf>
    <dxf>
      <numFmt numFmtId="233" formatCode="0.000_ "/>
    </dxf>
    <dxf>
      <numFmt numFmtId="234" formatCode="0.00_ "/>
    </dxf>
    <dxf>
      <numFmt numFmtId="178" formatCode="0.0_ "/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</dxfs>
  <tableStyles count="1" defaultTableStyle="TableStyleMedium9" defaultPivotStyle="PivotStyleLight16">
    <tableStyle name="TableStylePreset1_Accent4" pivot="0" count="7" xr9:uid="{E1C7B2B3-B766-4CA6-BF19-1F9A17DF7709}">
      <tableStyleElement type="wholeTable" dxfId="107"/>
      <tableStyleElement type="headerRow" dxfId="106"/>
      <tableStyleElement type="totalRow" dxfId="105"/>
      <tableStyleElement type="firstColumn" dxfId="104"/>
      <tableStyleElement type="lastColumn" dxfId="103"/>
      <tableStyleElement type="firstRowStripe" dxfId="102"/>
      <tableStyleElement type="firstColumnStripe" dxfId="10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4.xml"/><Relationship Id="rId15" Type="http://schemas.microsoft.com/office/2007/relationships/slicerCache" Target="slicerCaches/slicerCache3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[hr_dataset.xlsx]count of Attrition!count of Attrition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ar-EG" sz="1600" b="1" i="1"/>
              <a:t>count of Attrition</a:t>
            </a:r>
            <a:endParaRPr altLang="ar-EG"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'count of Attrition'!$B$1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Attrition'!$A$2:$A$4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'count of Attrition'!$B$2:$B$4</c:f>
              <c:numCache>
                <c:formatCode>0.0%</c:formatCode>
                <c:ptCount val="2"/>
                <c:pt idx="0">
                  <c:v>0.715</c:v>
                </c:pt>
                <c:pt idx="1">
                  <c:v>0.285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[hr_dataset.xlsx]sum of employee ID!sum of employee ID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employee ID'!$B$1</c:f>
              <c:strCache>
                <c:ptCount val="1"/>
                <c:pt idx="0">
                  <c:v>Sum of EmployeeID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of employee ID'!$A$2:$A$4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 of employee ID'!$B$2:$B$4</c:f>
              <c:numCache>
                <c:formatCode>General</c:formatCode>
                <c:ptCount val="2"/>
                <c:pt idx="0">
                  <c:v>14742</c:v>
                </c:pt>
                <c:pt idx="1">
                  <c:v>5358</c:v>
                </c:pt>
              </c:numCache>
            </c:numRef>
          </c:val>
        </c:ser>
        <c:ser>
          <c:idx val="1"/>
          <c:order val="1"/>
          <c:tx>
            <c:strRef>
              <c:f>'sum of employee ID'!$C$1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of employee ID'!$A$2:$A$4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 of employee ID'!$C$2:$C$4</c:f>
              <c:numCache>
                <c:formatCode>0.0%</c:formatCode>
                <c:ptCount val="2"/>
                <c:pt idx="0">
                  <c:v>0.715</c:v>
                </c:pt>
                <c:pt idx="1">
                  <c:v>0.285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78976263"/>
        <c:axId val="817034998"/>
      </c:barChart>
      <c:catAx>
        <c:axId val="178976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034998"/>
        <c:crosses val="autoZero"/>
        <c:auto val="1"/>
        <c:lblAlgn val="ctr"/>
        <c:lblOffset val="100"/>
        <c:noMultiLvlLbl val="0"/>
      </c:catAx>
      <c:valAx>
        <c:axId val="8170349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97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[hr_dataset.xlsx]count of employee!cout of employee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 of employee'!$B$3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employee'!$A$4:$A$9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'count of employee'!$B$4:$B$9</c:f>
              <c:numCache>
                <c:formatCode>General</c:formatCode>
                <c:ptCount val="5"/>
                <c:pt idx="0">
                  <c:v>51</c:v>
                </c:pt>
                <c:pt idx="1">
                  <c:v>40</c:v>
                </c:pt>
                <c:pt idx="2">
                  <c:v>34</c:v>
                </c:pt>
                <c:pt idx="3">
                  <c:v>41</c:v>
                </c:pt>
                <c:pt idx="4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14964141"/>
        <c:axId val="599792619"/>
      </c:barChart>
      <c:catAx>
        <c:axId val="21496414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792619"/>
        <c:crosses val="autoZero"/>
        <c:auto val="1"/>
        <c:lblAlgn val="ctr"/>
        <c:lblOffset val="100"/>
        <c:noMultiLvlLbl val="0"/>
      </c:catAx>
      <c:valAx>
        <c:axId val="5997926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9641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[hr_dataset.xlsx]Depatment!Depatment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Depatment!$B$1:$B$2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Depatment!$A$3:$A$8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Depatment!$B$3:$B$8</c:f>
              <c:numCache>
                <c:formatCode>General</c:formatCode>
                <c:ptCount val="5"/>
                <c:pt idx="0">
                  <c:v>39</c:v>
                </c:pt>
                <c:pt idx="1">
                  <c:v>32</c:v>
                </c:pt>
                <c:pt idx="2">
                  <c:v>18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</c:ser>
        <c:ser>
          <c:idx val="1"/>
          <c:order val="1"/>
          <c:tx>
            <c:strRef>
              <c:f>Depatment!$C$1:$C$2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Depatment!$A$3:$A$8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Depatment!$C$3:$C$8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16</c:v>
                </c:pt>
                <c:pt idx="3">
                  <c:v>14</c:v>
                </c:pt>
                <c:pt idx="4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33944631"/>
        <c:axId val="285195634"/>
      </c:barChart>
      <c:catAx>
        <c:axId val="9339446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195634"/>
        <c:crosses val="autoZero"/>
        <c:auto val="1"/>
        <c:lblAlgn val="ctr"/>
        <c:lblOffset val="100"/>
        <c:noMultiLvlLbl val="0"/>
      </c:catAx>
      <c:valAx>
        <c:axId val="28519563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94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[hr_dataset.xlsx]Average Salary!Average Salary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'Average Salary'!$B$1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'Average Salary'!$A$2:$A$4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'Average Salary'!$B$2:$B$4</c:f>
              <c:numCache>
                <c:formatCode>0.0_ </c:formatCode>
                <c:ptCount val="2"/>
                <c:pt idx="0">
                  <c:v>11396.4825174825</c:v>
                </c:pt>
                <c:pt idx="1">
                  <c:v>11067.4736842105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81540316"/>
        <c:axId val="813111712"/>
      </c:lineChart>
      <c:catAx>
        <c:axId val="815403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111712"/>
        <c:crosses val="autoZero"/>
        <c:auto val="1"/>
        <c:lblAlgn val="ctr"/>
        <c:lblOffset val="100"/>
        <c:noMultiLvlLbl val="0"/>
      </c:catAx>
      <c:valAx>
        <c:axId val="8131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403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[hr_dataset.xlsx]Average Job Satisfaction!Average Job Satisfaction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Job Satisfaction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Job Satisfaction'!$B$1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Job Satisfaction'!$A$2:$A$7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Job Satisfaction'!$B$2:$B$7</c:f>
              <c:numCache>
                <c:formatCode>0.0_ </c:formatCode>
                <c:ptCount val="5"/>
                <c:pt idx="0">
                  <c:v>3.13725490196078</c:v>
                </c:pt>
                <c:pt idx="1">
                  <c:v>3.625</c:v>
                </c:pt>
                <c:pt idx="2">
                  <c:v>3.05882352941176</c:v>
                </c:pt>
                <c:pt idx="3">
                  <c:v>3.26829268292683</c:v>
                </c:pt>
                <c:pt idx="4">
                  <c:v>2.5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85876163"/>
        <c:axId val="548248454"/>
      </c:barChart>
      <c:catAx>
        <c:axId val="6858761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248454"/>
        <c:crosses val="autoZero"/>
        <c:auto val="1"/>
        <c:lblAlgn val="ctr"/>
        <c:lblOffset val="100"/>
        <c:noMultiLvlLbl val="0"/>
      </c:catAx>
      <c:valAx>
        <c:axId val="5482484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761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[hr_dataset.xlsx]Salary by Department!Salary by Department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Salary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by Department'!$B$1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by Department'!$A$2:$A$7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'Salary by Department'!$B$2:$B$7</c:f>
              <c:numCache>
                <c:formatCode>General</c:formatCode>
                <c:ptCount val="5"/>
                <c:pt idx="0">
                  <c:v>554409</c:v>
                </c:pt>
                <c:pt idx="1">
                  <c:v>451854</c:v>
                </c:pt>
                <c:pt idx="2">
                  <c:v>372486</c:v>
                </c:pt>
                <c:pt idx="3">
                  <c:v>511634</c:v>
                </c:pt>
                <c:pt idx="4">
                  <c:v>370160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93670668"/>
        <c:axId val="978055695"/>
      </c:barChart>
      <c:catAx>
        <c:axId val="7936706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055695"/>
        <c:crosses val="autoZero"/>
        <c:auto val="1"/>
        <c:lblAlgn val="ctr"/>
        <c:lblOffset val="100"/>
        <c:noMultiLvlLbl val="0"/>
      </c:catAx>
      <c:valAx>
        <c:axId val="9780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6706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[hr_dataset.xlsx]Average salary by department!Average salary by department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salary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department'!$B$1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salary by department'!$B$2:$B$7</c:f>
              <c:numCache>
                <c:formatCode>0.0_ </c:formatCode>
                <c:ptCount val="5"/>
                <c:pt idx="0">
                  <c:v>10870.7647058824</c:v>
                </c:pt>
                <c:pt idx="1">
                  <c:v>11296.35</c:v>
                </c:pt>
                <c:pt idx="2">
                  <c:v>10955.4705882353</c:v>
                </c:pt>
                <c:pt idx="3">
                  <c:v>12478.8780487805</c:v>
                </c:pt>
                <c:pt idx="4">
                  <c:v>10887.0588235294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99726378"/>
        <c:axId val="518193907"/>
      </c:barChart>
      <c:catAx>
        <c:axId val="899726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193907"/>
        <c:crosses val="autoZero"/>
        <c:auto val="1"/>
        <c:lblAlgn val="ctr"/>
        <c:lblOffset val="100"/>
        <c:noMultiLvlLbl val="0"/>
      </c:catAx>
      <c:valAx>
        <c:axId val="5181939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263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[hr_dataset.xlsx]Average salary by department!Average salary by department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salary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department'!$B$1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salary by department'!$B$2:$B$7</c:f>
              <c:numCache>
                <c:formatCode>0.0_ </c:formatCode>
                <c:ptCount val="5"/>
                <c:pt idx="0">
                  <c:v>10870.7647058824</c:v>
                </c:pt>
                <c:pt idx="1">
                  <c:v>11296.35</c:v>
                </c:pt>
                <c:pt idx="2">
                  <c:v>10955.4705882353</c:v>
                </c:pt>
                <c:pt idx="3">
                  <c:v>12478.8780487805</c:v>
                </c:pt>
                <c:pt idx="4">
                  <c:v>10887.0588235294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99726378"/>
        <c:axId val="518193907"/>
      </c:barChart>
      <c:catAx>
        <c:axId val="899726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193907"/>
        <c:crosses val="autoZero"/>
        <c:auto val="1"/>
        <c:lblAlgn val="ctr"/>
        <c:lblOffset val="100"/>
        <c:noMultiLvlLbl val="0"/>
      </c:catAx>
      <c:valAx>
        <c:axId val="5181939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263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e7d1fe-894e-4051-a3f2-24d5cce15a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[hr_dataset.xlsx]Salary by Department!Salary by Department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Salary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by Department'!$B$1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by Department'!$A$2:$A$7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'Salary by Department'!$B$2:$B$7</c:f>
              <c:numCache>
                <c:formatCode>General</c:formatCode>
                <c:ptCount val="5"/>
                <c:pt idx="0">
                  <c:v>554409</c:v>
                </c:pt>
                <c:pt idx="1">
                  <c:v>451854</c:v>
                </c:pt>
                <c:pt idx="2">
                  <c:v>372486</c:v>
                </c:pt>
                <c:pt idx="3">
                  <c:v>511634</c:v>
                </c:pt>
                <c:pt idx="4">
                  <c:v>370160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93670668"/>
        <c:axId val="978055695"/>
      </c:barChart>
      <c:catAx>
        <c:axId val="7936706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055695"/>
        <c:crosses val="autoZero"/>
        <c:auto val="1"/>
        <c:lblAlgn val="ctr"/>
        <c:lblOffset val="100"/>
        <c:noMultiLvlLbl val="0"/>
      </c:catAx>
      <c:valAx>
        <c:axId val="9780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6706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8aafa3-6868-4f66-8933-ac2e3174ad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[hr_dataset.xlsx]Average Job Satisfaction!Average Job Satisfaction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Job Satisfaction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Job Satisfaction'!$B$1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Job Satisfaction'!$A$2:$A$7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Job Satisfaction'!$B$2:$B$7</c:f>
              <c:numCache>
                <c:formatCode>0.0_ </c:formatCode>
                <c:ptCount val="5"/>
                <c:pt idx="0">
                  <c:v>3.13725490196078</c:v>
                </c:pt>
                <c:pt idx="1">
                  <c:v>3.625</c:v>
                </c:pt>
                <c:pt idx="2">
                  <c:v>3.05882352941176</c:v>
                </c:pt>
                <c:pt idx="3">
                  <c:v>3.26829268292683</c:v>
                </c:pt>
                <c:pt idx="4">
                  <c:v>2.5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85876163"/>
        <c:axId val="548248454"/>
      </c:barChart>
      <c:catAx>
        <c:axId val="6858761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248454"/>
        <c:crosses val="autoZero"/>
        <c:auto val="1"/>
        <c:lblAlgn val="ctr"/>
        <c:lblOffset val="100"/>
        <c:noMultiLvlLbl val="0"/>
      </c:catAx>
      <c:valAx>
        <c:axId val="5482484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761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891138-88f3-4ec5-aa27-d5785b23da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[hr_dataset.xlsx]count of employee!cout of employee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 of employee'!$B$3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employee'!$A$4:$A$9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'count of employee'!$B$4:$B$9</c:f>
              <c:numCache>
                <c:formatCode>General</c:formatCode>
                <c:ptCount val="5"/>
                <c:pt idx="0">
                  <c:v>51</c:v>
                </c:pt>
                <c:pt idx="1">
                  <c:v>40</c:v>
                </c:pt>
                <c:pt idx="2">
                  <c:v>34</c:v>
                </c:pt>
                <c:pt idx="3">
                  <c:v>41</c:v>
                </c:pt>
                <c:pt idx="4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14964141"/>
        <c:axId val="599792619"/>
      </c:barChart>
      <c:catAx>
        <c:axId val="21496414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792619"/>
        <c:crosses val="autoZero"/>
        <c:auto val="1"/>
        <c:lblAlgn val="ctr"/>
        <c:lblOffset val="100"/>
        <c:noMultiLvlLbl val="0"/>
      </c:catAx>
      <c:valAx>
        <c:axId val="5997926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9641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aa26d5-d676-48dc-99af-f8efdaaab3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[hr_dataset.xlsx]Average Salary!Average Salary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Salary</a:t>
            </a:r>
          </a:p>
        </c:rich>
      </c:tx>
      <c:layout>
        <c:manualLayout>
          <c:xMode val="edge"/>
          <c:yMode val="edge"/>
          <c:x val="0.385263157894737"/>
          <c:y val="0.11736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'Average Salary'!$B$1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'Average Salary'!$A$2:$A$4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'Average Salary'!$B$2:$B$4</c:f>
              <c:numCache>
                <c:formatCode>0.0_ </c:formatCode>
                <c:ptCount val="2"/>
                <c:pt idx="0">
                  <c:v>11396.4825174825</c:v>
                </c:pt>
                <c:pt idx="1">
                  <c:v>11067.4736842105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81540316"/>
        <c:axId val="813111712"/>
      </c:lineChart>
      <c:catAx>
        <c:axId val="815403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111712"/>
        <c:crosses val="autoZero"/>
        <c:auto val="1"/>
        <c:lblAlgn val="ctr"/>
        <c:lblOffset val="100"/>
        <c:noMultiLvlLbl val="0"/>
      </c:catAx>
      <c:valAx>
        <c:axId val="8131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403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f45214-c304-45d3-b2b8-791da9cf12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[hr_dataset.xlsx]Depatment!Depatment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Depatment!$B$1:$B$2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Depatment!$A$3:$A$8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Depatment!$B$3:$B$8</c:f>
              <c:numCache>
                <c:formatCode>General</c:formatCode>
                <c:ptCount val="5"/>
                <c:pt idx="0">
                  <c:v>39</c:v>
                </c:pt>
                <c:pt idx="1">
                  <c:v>32</c:v>
                </c:pt>
                <c:pt idx="2">
                  <c:v>18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</c:ser>
        <c:ser>
          <c:idx val="1"/>
          <c:order val="1"/>
          <c:tx>
            <c:strRef>
              <c:f>Depatment!$C$1:$C$2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Depatment!$A$3:$A$8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Depatment!$C$3:$C$8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16</c:v>
                </c:pt>
                <c:pt idx="3">
                  <c:v>14</c:v>
                </c:pt>
                <c:pt idx="4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33944631"/>
        <c:axId val="285195634"/>
      </c:barChart>
      <c:catAx>
        <c:axId val="9339446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195634"/>
        <c:crosses val="autoZero"/>
        <c:auto val="1"/>
        <c:lblAlgn val="ctr"/>
        <c:lblOffset val="100"/>
        <c:noMultiLvlLbl val="0"/>
      </c:catAx>
      <c:valAx>
        <c:axId val="28519563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94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9ce624-1dcb-4067-b1df-8e691cc3f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[hr_dataset.xlsx]sum of employee ID!sum of employee ID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employee ID'!$B$1</c:f>
              <c:strCache>
                <c:ptCount val="1"/>
                <c:pt idx="0">
                  <c:v>Sum of EmployeeID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of employee ID'!$A$2:$A$4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 of employee ID'!$B$2:$B$4</c:f>
              <c:numCache>
                <c:formatCode>General</c:formatCode>
                <c:ptCount val="2"/>
                <c:pt idx="0">
                  <c:v>14742</c:v>
                </c:pt>
                <c:pt idx="1">
                  <c:v>5358</c:v>
                </c:pt>
              </c:numCache>
            </c:numRef>
          </c:val>
        </c:ser>
        <c:ser>
          <c:idx val="1"/>
          <c:order val="1"/>
          <c:tx>
            <c:strRef>
              <c:f>'sum of employee ID'!$C$1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of employee ID'!$A$2:$A$4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 of employee ID'!$C$2:$C$4</c:f>
              <c:numCache>
                <c:formatCode>0.0%</c:formatCode>
                <c:ptCount val="2"/>
                <c:pt idx="0">
                  <c:v>0.715</c:v>
                </c:pt>
                <c:pt idx="1">
                  <c:v>0.285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78976263"/>
        <c:axId val="817034998"/>
      </c:barChart>
      <c:catAx>
        <c:axId val="178976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034998"/>
        <c:crosses val="autoZero"/>
        <c:auto val="1"/>
        <c:lblAlgn val="ctr"/>
        <c:lblOffset val="100"/>
        <c:noMultiLvlLbl val="0"/>
      </c:catAx>
      <c:valAx>
        <c:axId val="8170349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97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56daa5-ab6b-47c9-8e68-5fa6fbb9e1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[hr_dataset.xlsx]count of Attrition!count of Attrition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ar-EG" sz="1600" b="1" i="1"/>
              <a:t>count of Attrition</a:t>
            </a:r>
            <a:endParaRPr altLang="ar-EG"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'count of Attrition'!$B$1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Attrition'!$A$2:$A$4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'count of Attrition'!$B$2:$B$4</c:f>
              <c:numCache>
                <c:formatCode>0.0%</c:formatCode>
                <c:ptCount val="2"/>
                <c:pt idx="0">
                  <c:v>0.715</c:v>
                </c:pt>
                <c:pt idx="1">
                  <c:v>0.285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0c9dbe-f9db-4376-94e8-2a502b032f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1044575</xdr:colOff>
      <xdr:row>0</xdr:row>
      <xdr:rowOff>31750</xdr:rowOff>
    </xdr:from>
    <xdr:to>
      <xdr:col>9</xdr:col>
      <xdr:colOff>288925</xdr:colOff>
      <xdr:row>14</xdr:row>
      <xdr:rowOff>107950</xdr:rowOff>
    </xdr:to>
    <xdr:graphicFrame>
      <xdr:nvGraphicFramePr>
        <xdr:cNvPr id="2" name="Chart 1"/>
        <xdr:cNvGraphicFramePr/>
      </xdr:nvGraphicFramePr>
      <xdr:xfrm>
        <a:off x="5216525" y="31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60325</xdr:colOff>
      <xdr:row>0</xdr:row>
      <xdr:rowOff>635</xdr:rowOff>
    </xdr:from>
    <xdr:to>
      <xdr:col>4</xdr:col>
      <xdr:colOff>708025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Employee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ee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117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34925</xdr:colOff>
      <xdr:row>0</xdr:row>
      <xdr:rowOff>635</xdr:rowOff>
    </xdr:from>
    <xdr:to>
      <xdr:col>13</xdr:col>
      <xdr:colOff>593725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554990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31750</xdr:colOff>
      <xdr:row>0</xdr:row>
      <xdr:rowOff>50800</xdr:rowOff>
    </xdr:from>
    <xdr:to>
      <xdr:col>6</xdr:col>
      <xdr:colOff>31750</xdr:colOff>
      <xdr:row>12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Attri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r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7925" y="50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139700</xdr:colOff>
      <xdr:row>0</xdr:row>
      <xdr:rowOff>69850</xdr:rowOff>
    </xdr:from>
    <xdr:to>
      <xdr:col>5</xdr:col>
      <xdr:colOff>139700</xdr:colOff>
      <xdr:row>12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9700" y="698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495300</xdr:colOff>
      <xdr:row>0</xdr:row>
      <xdr:rowOff>53975</xdr:rowOff>
    </xdr:from>
    <xdr:to>
      <xdr:col>8</xdr:col>
      <xdr:colOff>495300</xdr:colOff>
      <xdr:row>12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4100" y="539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549275</xdr:colOff>
      <xdr:row>0</xdr:row>
      <xdr:rowOff>635</xdr:rowOff>
    </xdr:from>
    <xdr:to>
      <xdr:col>13</xdr:col>
      <xdr:colOff>498475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478790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441325</xdr:colOff>
      <xdr:row>0</xdr:row>
      <xdr:rowOff>184150</xdr:rowOff>
    </xdr:from>
    <xdr:to>
      <xdr:col>5</xdr:col>
      <xdr:colOff>441325</xdr:colOff>
      <xdr:row>13</xdr:row>
      <xdr:rowOff>82550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1150" y="1841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606425</xdr:colOff>
      <xdr:row>0</xdr:row>
      <xdr:rowOff>635</xdr:rowOff>
    </xdr:from>
    <xdr:to>
      <xdr:col>15</xdr:col>
      <xdr:colOff>555625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591185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384175</xdr:colOff>
      <xdr:row>0</xdr:row>
      <xdr:rowOff>107950</xdr:rowOff>
    </xdr:from>
    <xdr:to>
      <xdr:col>7</xdr:col>
      <xdr:colOff>384175</xdr:colOff>
      <xdr:row>13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0800" y="1079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558800</xdr:colOff>
      <xdr:row>0</xdr:row>
      <xdr:rowOff>50800</xdr:rowOff>
    </xdr:from>
    <xdr:to>
      <xdr:col>12</xdr:col>
      <xdr:colOff>508000</xdr:colOff>
      <xdr:row>14</xdr:row>
      <xdr:rowOff>127000</xdr:rowOff>
    </xdr:to>
    <xdr:graphicFrame>
      <xdr:nvGraphicFramePr>
        <xdr:cNvPr id="2" name="Chart 1"/>
        <xdr:cNvGraphicFramePr/>
      </xdr:nvGraphicFramePr>
      <xdr:xfrm>
        <a:off x="3768725" y="50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6350</xdr:colOff>
      <xdr:row>0</xdr:row>
      <xdr:rowOff>50800</xdr:rowOff>
    </xdr:from>
    <xdr:to>
      <xdr:col>5</xdr:col>
      <xdr:colOff>6350</xdr:colOff>
      <xdr:row>12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Attriti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rit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7075" y="50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558800</xdr:colOff>
      <xdr:row>0</xdr:row>
      <xdr:rowOff>635</xdr:rowOff>
    </xdr:from>
    <xdr:to>
      <xdr:col>12</xdr:col>
      <xdr:colOff>508000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4530725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1778000</xdr:colOff>
      <xdr:row>0</xdr:row>
      <xdr:rowOff>12700</xdr:rowOff>
    </xdr:from>
    <xdr:to>
      <xdr:col>4</xdr:col>
      <xdr:colOff>606425</xdr:colOff>
      <xdr:row>12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9550" y="12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44450</xdr:colOff>
      <xdr:row>0</xdr:row>
      <xdr:rowOff>20320</xdr:rowOff>
    </xdr:from>
    <xdr:to>
      <xdr:col>12</xdr:col>
      <xdr:colOff>603250</xdr:colOff>
      <xdr:row>14</xdr:row>
      <xdr:rowOff>96520</xdr:rowOff>
    </xdr:to>
    <xdr:graphicFrame>
      <xdr:nvGraphicFramePr>
        <xdr:cNvPr id="2" name="Chart 1"/>
        <xdr:cNvGraphicFramePr/>
      </xdr:nvGraphicFramePr>
      <xdr:xfrm>
        <a:off x="3768725" y="203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63500</xdr:colOff>
      <xdr:row>0</xdr:row>
      <xdr:rowOff>31750</xdr:rowOff>
    </xdr:from>
    <xdr:to>
      <xdr:col>5</xdr:col>
      <xdr:colOff>63500</xdr:colOff>
      <xdr:row>12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8975" y="317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25400</xdr:colOff>
      <xdr:row>0</xdr:row>
      <xdr:rowOff>22225</xdr:rowOff>
    </xdr:from>
    <xdr:to>
      <xdr:col>12</xdr:col>
      <xdr:colOff>584200</xdr:colOff>
      <xdr:row>14</xdr:row>
      <xdr:rowOff>98425</xdr:rowOff>
    </xdr:to>
    <xdr:graphicFrame>
      <xdr:nvGraphicFramePr>
        <xdr:cNvPr id="2" name="Chart 1"/>
        <xdr:cNvGraphicFramePr/>
      </xdr:nvGraphicFramePr>
      <xdr:xfrm>
        <a:off x="4006850" y="22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1168400</xdr:colOff>
      <xdr:row>0</xdr:row>
      <xdr:rowOff>79375</xdr:rowOff>
    </xdr:from>
    <xdr:to>
      <xdr:col>4</xdr:col>
      <xdr:colOff>596900</xdr:colOff>
      <xdr:row>12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9950" y="79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2</xdr:row>
      <xdr:rowOff>0</xdr:rowOff>
    </xdr:from>
    <xdr:to>
      <xdr:col>17</xdr:col>
      <xdr:colOff>5715</xdr:colOff>
      <xdr:row>10</xdr:row>
      <xdr:rowOff>170815</xdr:rowOff>
    </xdr:to>
    <xdr:graphicFrame>
      <xdr:nvGraphicFramePr>
        <xdr:cNvPr id="2" name="Chart 1"/>
        <xdr:cNvGraphicFramePr/>
      </xdr:nvGraphicFramePr>
      <xdr:xfrm>
        <a:off x="10963275" y="533400"/>
        <a:ext cx="508254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12</xdr:row>
      <xdr:rowOff>0</xdr:rowOff>
    </xdr:from>
    <xdr:to>
      <xdr:col>17</xdr:col>
      <xdr:colOff>5715</xdr:colOff>
      <xdr:row>25</xdr:row>
      <xdr:rowOff>143510</xdr:rowOff>
    </xdr:to>
    <xdr:graphicFrame>
      <xdr:nvGraphicFramePr>
        <xdr:cNvPr id="3" name="Chart 2"/>
        <xdr:cNvGraphicFramePr/>
      </xdr:nvGraphicFramePr>
      <xdr:xfrm>
        <a:off x="10972800" y="3848100"/>
        <a:ext cx="5073015" cy="2839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27</xdr:row>
      <xdr:rowOff>9525</xdr:rowOff>
    </xdr:from>
    <xdr:to>
      <xdr:col>16</xdr:col>
      <xdr:colOff>606425</xdr:colOff>
      <xdr:row>41</xdr:row>
      <xdr:rowOff>189865</xdr:rowOff>
    </xdr:to>
    <xdr:graphicFrame>
      <xdr:nvGraphicFramePr>
        <xdr:cNvPr id="4" name="Chart 3"/>
        <xdr:cNvGraphicFramePr/>
      </xdr:nvGraphicFramePr>
      <xdr:xfrm>
        <a:off x="10972800" y="6934200"/>
        <a:ext cx="5064125" cy="2847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42</xdr:row>
      <xdr:rowOff>180975</xdr:rowOff>
    </xdr:from>
    <xdr:to>
      <xdr:col>16</xdr:col>
      <xdr:colOff>596900</xdr:colOff>
      <xdr:row>57</xdr:row>
      <xdr:rowOff>161925</xdr:rowOff>
    </xdr:to>
    <xdr:graphicFrame>
      <xdr:nvGraphicFramePr>
        <xdr:cNvPr id="5" name="Chart 4"/>
        <xdr:cNvGraphicFramePr/>
      </xdr:nvGraphicFramePr>
      <xdr:xfrm>
        <a:off x="10972800" y="9963150"/>
        <a:ext cx="50546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19050</xdr:colOff>
      <xdr:row>2</xdr:row>
      <xdr:rowOff>19050</xdr:rowOff>
    </xdr:from>
    <xdr:to>
      <xdr:col>9</xdr:col>
      <xdr:colOff>606425</xdr:colOff>
      <xdr:row>11</xdr:row>
      <xdr:rowOff>399415</xdr:rowOff>
    </xdr:to>
    <xdr:graphicFrame>
      <xdr:nvGraphicFramePr>
        <xdr:cNvPr id="6" name="Chart 5"/>
        <xdr:cNvGraphicFramePr/>
      </xdr:nvGraphicFramePr>
      <xdr:xfrm>
        <a:off x="6715125" y="552450"/>
        <a:ext cx="4244975" cy="3295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9525</xdr:colOff>
      <xdr:row>13</xdr:row>
      <xdr:rowOff>0</xdr:rowOff>
    </xdr:from>
    <xdr:to>
      <xdr:col>10</xdr:col>
      <xdr:colOff>6985</xdr:colOff>
      <xdr:row>32</xdr:row>
      <xdr:rowOff>170815</xdr:rowOff>
    </xdr:to>
    <xdr:graphicFrame>
      <xdr:nvGraphicFramePr>
        <xdr:cNvPr id="7" name="Chart 6"/>
        <xdr:cNvGraphicFramePr/>
      </xdr:nvGraphicFramePr>
      <xdr:xfrm>
        <a:off x="6705600" y="4257675"/>
        <a:ext cx="4264660" cy="3790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590550</xdr:colOff>
      <xdr:row>59</xdr:row>
      <xdr:rowOff>19050</xdr:rowOff>
    </xdr:from>
    <xdr:to>
      <xdr:col>16</xdr:col>
      <xdr:colOff>606425</xdr:colOff>
      <xdr:row>73</xdr:row>
      <xdr:rowOff>180975</xdr:rowOff>
    </xdr:to>
    <xdr:graphicFrame>
      <xdr:nvGraphicFramePr>
        <xdr:cNvPr id="8" name="Chart 7"/>
        <xdr:cNvGraphicFramePr/>
      </xdr:nvGraphicFramePr>
      <xdr:xfrm>
        <a:off x="10944225" y="13039725"/>
        <a:ext cx="5092700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28575</xdr:colOff>
      <xdr:row>2</xdr:row>
      <xdr:rowOff>38100</xdr:rowOff>
    </xdr:from>
    <xdr:to>
      <xdr:col>24</xdr:col>
      <xdr:colOff>587375</xdr:colOff>
      <xdr:row>11</xdr:row>
      <xdr:rowOff>8890</xdr:rowOff>
    </xdr:to>
    <xdr:graphicFrame>
      <xdr:nvGraphicFramePr>
        <xdr:cNvPr id="9" name="Chart 8"/>
        <xdr:cNvGraphicFramePr/>
      </xdr:nvGraphicFramePr>
      <xdr:xfrm>
        <a:off x="16068675" y="571500"/>
        <a:ext cx="48260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127000</xdr:colOff>
      <xdr:row>11</xdr:row>
      <xdr:rowOff>247650</xdr:rowOff>
    </xdr:from>
    <xdr:to>
      <xdr:col>20</xdr:col>
      <xdr:colOff>127000</xdr:colOff>
      <xdr:row>22</xdr:row>
      <xdr:rowOff>98425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Gender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67100" y="3695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454025</xdr:colOff>
      <xdr:row>11</xdr:row>
      <xdr:rowOff>165100</xdr:rowOff>
    </xdr:from>
    <xdr:to>
      <xdr:col>24</xdr:col>
      <xdr:colOff>454025</xdr:colOff>
      <xdr:row>22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Department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32525" y="36131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9.8007638889" refreshedBy="krkr" recordCount="200">
  <cacheSource type="worksheet">
    <worksheetSource name="HR_data"/>
  </cacheSource>
  <cacheFields count="9">
    <cacheField name="Employee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Age" numFmtId="0">
      <sharedItems containsSemiMixedTypes="0" containsString="0" containsNumber="1" containsInteger="1" minValue="22" maxValue="60" count="39">
        <n v="43"/>
        <n v="55"/>
        <n v="59"/>
        <n v="37"/>
        <n v="39"/>
        <n v="23"/>
        <n v="25"/>
        <n v="47"/>
        <n v="33"/>
        <n v="29"/>
        <n v="26"/>
        <n v="56"/>
        <n v="45"/>
        <n v="34"/>
        <n v="40"/>
        <n v="41"/>
        <n v="46"/>
        <n v="54"/>
        <n v="58"/>
        <n v="32"/>
        <n v="44"/>
        <n v="52"/>
        <n v="24"/>
        <n v="60"/>
        <n v="49"/>
        <n v="50"/>
        <n v="22"/>
        <n v="28"/>
        <n v="30"/>
        <n v="48"/>
        <n v="31"/>
        <n v="36"/>
        <n v="57"/>
        <n v="42"/>
        <n v="51"/>
        <n v="35"/>
        <n v="38"/>
        <n v="53"/>
        <n v="27"/>
      </sharedItems>
    </cacheField>
    <cacheField name="Gender" numFmtId="0">
      <sharedItems count="2">
        <s v="Female"/>
        <s v="Male"/>
      </sharedItems>
    </cacheField>
    <cacheField name="Department" numFmtId="0">
      <sharedItems count="5">
        <s v="IT"/>
        <s v="Finance"/>
        <s v="Marketing"/>
        <s v="HR"/>
        <s v="Sales"/>
      </sharedItems>
    </cacheField>
    <cacheField name="JobRole" numFmtId="0">
      <sharedItems count="5">
        <s v="Specialist"/>
        <s v="Coordinator"/>
        <s v="Analyst"/>
        <s v="Manager"/>
        <s v="Executive"/>
      </sharedItems>
    </cacheField>
    <cacheField name="Salary" numFmtId="0">
      <sharedItems containsSemiMixedTypes="0" containsString="0" containsNumber="1" containsInteger="1" minValue="3010" maxValue="19966" count="198">
        <n v="5464"/>
        <n v="14840"/>
        <n v="12982"/>
        <n v="17788"/>
        <n v="4875"/>
        <n v="17146"/>
        <n v="4501"/>
        <n v="17033"/>
        <n v="3971"/>
        <n v="4705"/>
        <n v="12844"/>
        <n v="6154"/>
        <n v="12979"/>
        <n v="6667"/>
        <n v="8249"/>
        <n v="12036"/>
        <n v="10374"/>
        <n v="5951"/>
        <n v="13943"/>
        <n v="12560"/>
        <n v="9271"/>
        <n v="9652"/>
        <n v="10096"/>
        <n v="13737"/>
        <n v="6090"/>
        <n v="9004"/>
        <n v="5335"/>
        <n v="3868"/>
        <n v="4777"/>
        <n v="19109"/>
        <n v="4545"/>
        <n v="12128"/>
        <n v="17130"/>
        <n v="3655"/>
        <n v="10815"/>
        <n v="13653"/>
        <n v="6774"/>
        <n v="7724"/>
        <n v="19478"/>
        <n v="7654"/>
        <n v="11333"/>
        <n v="9493"/>
        <n v="10874"/>
        <n v="10799"/>
        <n v="5365"/>
        <n v="12708"/>
        <n v="7400"/>
        <n v="7838"/>
        <n v="12406"/>
        <n v="8130"/>
        <n v="9099"/>
        <n v="16911"/>
        <n v="19244"/>
        <n v="17487"/>
        <n v="5721"/>
        <n v="5380"/>
        <n v="19322"/>
        <n v="15671"/>
        <n v="17711"/>
        <n v="12206"/>
        <n v="14634"/>
        <n v="11816"/>
        <n v="4250"/>
        <n v="13611"/>
        <n v="12857"/>
        <n v="18209"/>
        <n v="14464"/>
        <n v="16403"/>
        <n v="5901"/>
        <n v="10972"/>
        <n v="3364"/>
        <n v="18573"/>
        <n v="13097"/>
        <n v="4056"/>
        <n v="8425"/>
        <n v="10413"/>
        <n v="18217"/>
        <n v="12986"/>
        <n v="16659"/>
        <n v="17617"/>
        <n v="8392"/>
        <n v="14469"/>
        <n v="19229"/>
        <n v="14986"/>
        <n v="10517"/>
        <n v="18101"/>
        <n v="17415"/>
        <n v="14824"/>
        <n v="12935"/>
        <n v="17855"/>
        <n v="19126"/>
        <n v="13610"/>
        <n v="4531"/>
        <n v="8622"/>
        <n v="18949"/>
        <n v="9273"/>
        <n v="7482"/>
        <n v="16799"/>
        <n v="8574"/>
        <n v="3723"/>
        <n v="15852"/>
        <n v="3510"/>
        <n v="7125"/>
        <n v="19028"/>
        <n v="10848"/>
        <n v="11659"/>
        <n v="19059"/>
        <n v="17085"/>
        <n v="7486"/>
        <n v="4885"/>
        <n v="4841"/>
        <n v="13329"/>
        <n v="12660"/>
        <n v="4750"/>
        <n v="5240"/>
        <n v="17179"/>
        <n v="19407"/>
        <n v="3794"/>
        <n v="9279"/>
        <n v="17787"/>
        <n v="12381"/>
        <n v="14657"/>
        <n v="9157"/>
        <n v="13252"/>
        <n v="16805"/>
        <n v="13894"/>
        <n v="17942"/>
        <n v="4769"/>
        <n v="18304"/>
        <n v="13714"/>
        <n v="9845"/>
        <n v="7752"/>
        <n v="12024"/>
        <n v="10358"/>
        <n v="15100"/>
        <n v="3610"/>
        <n v="7639"/>
        <n v="3010"/>
        <n v="10030"/>
        <n v="3933"/>
        <n v="9304"/>
        <n v="8570"/>
        <n v="4299"/>
        <n v="5042"/>
        <n v="3467"/>
        <n v="8415"/>
        <n v="7924"/>
        <n v="19232"/>
        <n v="3198"/>
        <n v="4972"/>
        <n v="15679"/>
        <n v="13897"/>
        <n v="8035"/>
        <n v="18671"/>
        <n v="8453"/>
        <n v="9731"/>
        <n v="7424"/>
        <n v="4410"/>
        <n v="15405"/>
        <n v="13547"/>
        <n v="6341"/>
        <n v="17754"/>
        <n v="17708"/>
        <n v="5590"/>
        <n v="17535"/>
        <n v="19348"/>
        <n v="19255"/>
        <n v="11603"/>
        <n v="6245"/>
        <n v="7054"/>
        <n v="14424"/>
        <n v="16514"/>
        <n v="18106"/>
        <n v="5952"/>
        <n v="11072"/>
        <n v="8714"/>
        <n v="9667"/>
        <n v="15263"/>
        <n v="12354"/>
        <n v="17168"/>
        <n v="10873"/>
        <n v="15577"/>
        <n v="18772"/>
        <n v="5561"/>
        <n v="4062"/>
        <n v="10698"/>
        <n v="18979"/>
        <n v="15886"/>
        <n v="15738"/>
        <n v="4499"/>
        <n v="19966"/>
        <n v="8785"/>
        <n v="11482"/>
        <n v="5139"/>
        <n v="7887"/>
        <n v="9711"/>
        <n v="11605"/>
        <n v="14723"/>
      </sharedItems>
    </cacheField>
    <cacheField name="YearsAtCompany" numFmtId="0">
      <sharedItems containsSemiMixedTypes="0" containsString="0" containsNumber="1" containsInteger="1" minValue="0" maxValue="20" count="21">
        <n v="5"/>
        <n v="6"/>
        <n v="7"/>
        <n v="10"/>
        <n v="2"/>
        <n v="19"/>
        <n v="18"/>
        <n v="12"/>
        <n v="0"/>
        <n v="20"/>
        <n v="13"/>
        <n v="15"/>
        <n v="1"/>
        <n v="3"/>
        <n v="11"/>
        <n v="4"/>
        <n v="17"/>
        <n v="14"/>
        <n v="16"/>
        <n v="8"/>
        <n v="9"/>
      </sharedItems>
    </cacheField>
    <cacheField name="Attrition" numFmtId="0">
      <sharedItems count="2">
        <s v="No"/>
        <s v="Yes"/>
      </sharedItems>
    </cacheField>
    <cacheField name="JobSatisfaction" numFmtId="0">
      <sharedItems containsSemiMixedTypes="0" containsString="0" containsNumber="1" containsInteger="1" minValue="1" maxValue="5" count="5">
        <n v="1"/>
        <n v="2"/>
        <n v="3"/>
        <n v="5"/>
        <n v="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</r>
  <r>
    <x v="1"/>
    <x v="1"/>
    <x v="1"/>
    <x v="1"/>
    <x v="0"/>
    <x v="1"/>
    <x v="1"/>
    <x v="0"/>
    <x v="1"/>
  </r>
  <r>
    <x v="2"/>
    <x v="2"/>
    <x v="0"/>
    <x v="0"/>
    <x v="1"/>
    <x v="2"/>
    <x v="2"/>
    <x v="1"/>
    <x v="1"/>
  </r>
  <r>
    <x v="3"/>
    <x v="3"/>
    <x v="0"/>
    <x v="1"/>
    <x v="1"/>
    <x v="3"/>
    <x v="3"/>
    <x v="0"/>
    <x v="2"/>
  </r>
  <r>
    <x v="4"/>
    <x v="4"/>
    <x v="0"/>
    <x v="2"/>
    <x v="0"/>
    <x v="4"/>
    <x v="4"/>
    <x v="0"/>
    <x v="2"/>
  </r>
  <r>
    <x v="5"/>
    <x v="1"/>
    <x v="0"/>
    <x v="2"/>
    <x v="2"/>
    <x v="5"/>
    <x v="5"/>
    <x v="0"/>
    <x v="2"/>
  </r>
  <r>
    <x v="6"/>
    <x v="5"/>
    <x v="1"/>
    <x v="1"/>
    <x v="3"/>
    <x v="6"/>
    <x v="6"/>
    <x v="1"/>
    <x v="1"/>
  </r>
  <r>
    <x v="7"/>
    <x v="6"/>
    <x v="0"/>
    <x v="3"/>
    <x v="1"/>
    <x v="7"/>
    <x v="3"/>
    <x v="0"/>
    <x v="2"/>
  </r>
  <r>
    <x v="8"/>
    <x v="7"/>
    <x v="0"/>
    <x v="3"/>
    <x v="2"/>
    <x v="8"/>
    <x v="7"/>
    <x v="0"/>
    <x v="2"/>
  </r>
  <r>
    <x v="9"/>
    <x v="8"/>
    <x v="1"/>
    <x v="1"/>
    <x v="3"/>
    <x v="9"/>
    <x v="8"/>
    <x v="0"/>
    <x v="1"/>
  </r>
  <r>
    <x v="10"/>
    <x v="9"/>
    <x v="0"/>
    <x v="2"/>
    <x v="1"/>
    <x v="10"/>
    <x v="9"/>
    <x v="1"/>
    <x v="3"/>
  </r>
  <r>
    <x v="11"/>
    <x v="10"/>
    <x v="0"/>
    <x v="3"/>
    <x v="4"/>
    <x v="11"/>
    <x v="5"/>
    <x v="0"/>
    <x v="3"/>
  </r>
  <r>
    <x v="12"/>
    <x v="11"/>
    <x v="1"/>
    <x v="0"/>
    <x v="0"/>
    <x v="12"/>
    <x v="6"/>
    <x v="1"/>
    <x v="2"/>
  </r>
  <r>
    <x v="13"/>
    <x v="12"/>
    <x v="0"/>
    <x v="1"/>
    <x v="3"/>
    <x v="13"/>
    <x v="0"/>
    <x v="1"/>
    <x v="2"/>
  </r>
  <r>
    <x v="14"/>
    <x v="13"/>
    <x v="0"/>
    <x v="1"/>
    <x v="1"/>
    <x v="14"/>
    <x v="10"/>
    <x v="0"/>
    <x v="3"/>
  </r>
  <r>
    <x v="15"/>
    <x v="14"/>
    <x v="0"/>
    <x v="1"/>
    <x v="3"/>
    <x v="15"/>
    <x v="11"/>
    <x v="0"/>
    <x v="2"/>
  </r>
  <r>
    <x v="16"/>
    <x v="12"/>
    <x v="0"/>
    <x v="0"/>
    <x v="1"/>
    <x v="16"/>
    <x v="1"/>
    <x v="0"/>
    <x v="3"/>
  </r>
  <r>
    <x v="17"/>
    <x v="15"/>
    <x v="0"/>
    <x v="2"/>
    <x v="3"/>
    <x v="17"/>
    <x v="6"/>
    <x v="1"/>
    <x v="4"/>
  </r>
  <r>
    <x v="18"/>
    <x v="16"/>
    <x v="1"/>
    <x v="2"/>
    <x v="3"/>
    <x v="18"/>
    <x v="9"/>
    <x v="0"/>
    <x v="4"/>
  </r>
  <r>
    <x v="19"/>
    <x v="17"/>
    <x v="1"/>
    <x v="4"/>
    <x v="1"/>
    <x v="19"/>
    <x v="12"/>
    <x v="0"/>
    <x v="0"/>
  </r>
  <r>
    <x v="20"/>
    <x v="18"/>
    <x v="1"/>
    <x v="0"/>
    <x v="0"/>
    <x v="20"/>
    <x v="11"/>
    <x v="0"/>
    <x v="1"/>
  </r>
  <r>
    <x v="21"/>
    <x v="19"/>
    <x v="1"/>
    <x v="1"/>
    <x v="3"/>
    <x v="21"/>
    <x v="10"/>
    <x v="0"/>
    <x v="1"/>
  </r>
  <r>
    <x v="22"/>
    <x v="3"/>
    <x v="0"/>
    <x v="2"/>
    <x v="0"/>
    <x v="22"/>
    <x v="13"/>
    <x v="1"/>
    <x v="3"/>
  </r>
  <r>
    <x v="23"/>
    <x v="11"/>
    <x v="0"/>
    <x v="4"/>
    <x v="2"/>
    <x v="23"/>
    <x v="6"/>
    <x v="0"/>
    <x v="4"/>
  </r>
  <r>
    <x v="24"/>
    <x v="7"/>
    <x v="0"/>
    <x v="0"/>
    <x v="0"/>
    <x v="24"/>
    <x v="14"/>
    <x v="0"/>
    <x v="4"/>
  </r>
  <r>
    <x v="25"/>
    <x v="20"/>
    <x v="1"/>
    <x v="0"/>
    <x v="2"/>
    <x v="25"/>
    <x v="15"/>
    <x v="0"/>
    <x v="1"/>
  </r>
  <r>
    <x v="26"/>
    <x v="15"/>
    <x v="0"/>
    <x v="3"/>
    <x v="0"/>
    <x v="26"/>
    <x v="16"/>
    <x v="0"/>
    <x v="0"/>
  </r>
  <r>
    <x v="27"/>
    <x v="18"/>
    <x v="0"/>
    <x v="3"/>
    <x v="2"/>
    <x v="27"/>
    <x v="14"/>
    <x v="1"/>
    <x v="4"/>
  </r>
  <r>
    <x v="28"/>
    <x v="21"/>
    <x v="1"/>
    <x v="0"/>
    <x v="4"/>
    <x v="28"/>
    <x v="15"/>
    <x v="1"/>
    <x v="0"/>
  </r>
  <r>
    <x v="29"/>
    <x v="10"/>
    <x v="1"/>
    <x v="1"/>
    <x v="2"/>
    <x v="29"/>
    <x v="17"/>
    <x v="0"/>
    <x v="4"/>
  </r>
  <r>
    <x v="30"/>
    <x v="11"/>
    <x v="1"/>
    <x v="2"/>
    <x v="0"/>
    <x v="30"/>
    <x v="17"/>
    <x v="0"/>
    <x v="0"/>
  </r>
  <r>
    <x v="31"/>
    <x v="22"/>
    <x v="0"/>
    <x v="2"/>
    <x v="3"/>
    <x v="31"/>
    <x v="18"/>
    <x v="1"/>
    <x v="2"/>
  </r>
  <r>
    <x v="32"/>
    <x v="18"/>
    <x v="1"/>
    <x v="3"/>
    <x v="4"/>
    <x v="32"/>
    <x v="0"/>
    <x v="1"/>
    <x v="4"/>
  </r>
  <r>
    <x v="33"/>
    <x v="23"/>
    <x v="1"/>
    <x v="1"/>
    <x v="2"/>
    <x v="33"/>
    <x v="16"/>
    <x v="1"/>
    <x v="2"/>
  </r>
  <r>
    <x v="34"/>
    <x v="18"/>
    <x v="0"/>
    <x v="1"/>
    <x v="3"/>
    <x v="34"/>
    <x v="19"/>
    <x v="1"/>
    <x v="3"/>
  </r>
  <r>
    <x v="35"/>
    <x v="24"/>
    <x v="0"/>
    <x v="4"/>
    <x v="1"/>
    <x v="35"/>
    <x v="8"/>
    <x v="0"/>
    <x v="1"/>
  </r>
  <r>
    <x v="36"/>
    <x v="25"/>
    <x v="1"/>
    <x v="0"/>
    <x v="2"/>
    <x v="36"/>
    <x v="5"/>
    <x v="0"/>
    <x v="4"/>
  </r>
  <r>
    <x v="37"/>
    <x v="26"/>
    <x v="0"/>
    <x v="1"/>
    <x v="4"/>
    <x v="37"/>
    <x v="7"/>
    <x v="0"/>
    <x v="2"/>
  </r>
  <r>
    <x v="38"/>
    <x v="13"/>
    <x v="1"/>
    <x v="1"/>
    <x v="2"/>
    <x v="38"/>
    <x v="9"/>
    <x v="0"/>
    <x v="3"/>
  </r>
  <r>
    <x v="39"/>
    <x v="1"/>
    <x v="1"/>
    <x v="4"/>
    <x v="3"/>
    <x v="39"/>
    <x v="11"/>
    <x v="0"/>
    <x v="2"/>
  </r>
  <r>
    <x v="40"/>
    <x v="27"/>
    <x v="1"/>
    <x v="1"/>
    <x v="2"/>
    <x v="40"/>
    <x v="12"/>
    <x v="0"/>
    <x v="2"/>
  </r>
  <r>
    <x v="41"/>
    <x v="15"/>
    <x v="1"/>
    <x v="2"/>
    <x v="0"/>
    <x v="41"/>
    <x v="9"/>
    <x v="0"/>
    <x v="4"/>
  </r>
  <r>
    <x v="42"/>
    <x v="2"/>
    <x v="1"/>
    <x v="4"/>
    <x v="2"/>
    <x v="42"/>
    <x v="6"/>
    <x v="1"/>
    <x v="1"/>
  </r>
  <r>
    <x v="43"/>
    <x v="28"/>
    <x v="1"/>
    <x v="0"/>
    <x v="0"/>
    <x v="43"/>
    <x v="3"/>
    <x v="1"/>
    <x v="2"/>
  </r>
  <r>
    <x v="44"/>
    <x v="29"/>
    <x v="1"/>
    <x v="4"/>
    <x v="0"/>
    <x v="44"/>
    <x v="19"/>
    <x v="0"/>
    <x v="0"/>
  </r>
  <r>
    <x v="45"/>
    <x v="15"/>
    <x v="0"/>
    <x v="4"/>
    <x v="2"/>
    <x v="45"/>
    <x v="7"/>
    <x v="1"/>
    <x v="0"/>
  </r>
  <r>
    <x v="46"/>
    <x v="3"/>
    <x v="0"/>
    <x v="0"/>
    <x v="3"/>
    <x v="46"/>
    <x v="9"/>
    <x v="1"/>
    <x v="3"/>
  </r>
  <r>
    <x v="47"/>
    <x v="2"/>
    <x v="0"/>
    <x v="3"/>
    <x v="0"/>
    <x v="47"/>
    <x v="20"/>
    <x v="0"/>
    <x v="3"/>
  </r>
  <r>
    <x v="48"/>
    <x v="30"/>
    <x v="1"/>
    <x v="2"/>
    <x v="3"/>
    <x v="48"/>
    <x v="18"/>
    <x v="0"/>
    <x v="0"/>
  </r>
  <r>
    <x v="49"/>
    <x v="20"/>
    <x v="1"/>
    <x v="0"/>
    <x v="0"/>
    <x v="49"/>
    <x v="12"/>
    <x v="1"/>
    <x v="4"/>
  </r>
  <r>
    <x v="50"/>
    <x v="25"/>
    <x v="0"/>
    <x v="2"/>
    <x v="1"/>
    <x v="50"/>
    <x v="7"/>
    <x v="0"/>
    <x v="0"/>
  </r>
  <r>
    <x v="51"/>
    <x v="11"/>
    <x v="0"/>
    <x v="0"/>
    <x v="2"/>
    <x v="51"/>
    <x v="8"/>
    <x v="1"/>
    <x v="4"/>
  </r>
  <r>
    <x v="52"/>
    <x v="21"/>
    <x v="0"/>
    <x v="1"/>
    <x v="0"/>
    <x v="52"/>
    <x v="3"/>
    <x v="0"/>
    <x v="0"/>
  </r>
  <r>
    <x v="53"/>
    <x v="29"/>
    <x v="1"/>
    <x v="2"/>
    <x v="0"/>
    <x v="53"/>
    <x v="14"/>
    <x v="0"/>
    <x v="3"/>
  </r>
  <r>
    <x v="54"/>
    <x v="13"/>
    <x v="1"/>
    <x v="4"/>
    <x v="0"/>
    <x v="54"/>
    <x v="9"/>
    <x v="0"/>
    <x v="3"/>
  </r>
  <r>
    <x v="55"/>
    <x v="31"/>
    <x v="0"/>
    <x v="2"/>
    <x v="3"/>
    <x v="55"/>
    <x v="20"/>
    <x v="1"/>
    <x v="4"/>
  </r>
  <r>
    <x v="56"/>
    <x v="21"/>
    <x v="0"/>
    <x v="3"/>
    <x v="3"/>
    <x v="56"/>
    <x v="17"/>
    <x v="0"/>
    <x v="1"/>
  </r>
  <r>
    <x v="57"/>
    <x v="8"/>
    <x v="0"/>
    <x v="3"/>
    <x v="3"/>
    <x v="57"/>
    <x v="8"/>
    <x v="1"/>
    <x v="4"/>
  </r>
  <r>
    <x v="58"/>
    <x v="28"/>
    <x v="0"/>
    <x v="2"/>
    <x v="3"/>
    <x v="58"/>
    <x v="20"/>
    <x v="0"/>
    <x v="4"/>
  </r>
  <r>
    <x v="59"/>
    <x v="8"/>
    <x v="1"/>
    <x v="1"/>
    <x v="0"/>
    <x v="59"/>
    <x v="4"/>
    <x v="0"/>
    <x v="2"/>
  </r>
  <r>
    <x v="60"/>
    <x v="32"/>
    <x v="1"/>
    <x v="4"/>
    <x v="3"/>
    <x v="60"/>
    <x v="0"/>
    <x v="1"/>
    <x v="4"/>
  </r>
  <r>
    <x v="61"/>
    <x v="33"/>
    <x v="0"/>
    <x v="2"/>
    <x v="2"/>
    <x v="61"/>
    <x v="11"/>
    <x v="0"/>
    <x v="2"/>
  </r>
  <r>
    <x v="62"/>
    <x v="20"/>
    <x v="0"/>
    <x v="3"/>
    <x v="1"/>
    <x v="62"/>
    <x v="11"/>
    <x v="0"/>
    <x v="4"/>
  </r>
  <r>
    <x v="63"/>
    <x v="22"/>
    <x v="1"/>
    <x v="0"/>
    <x v="2"/>
    <x v="63"/>
    <x v="8"/>
    <x v="0"/>
    <x v="4"/>
  </r>
  <r>
    <x v="64"/>
    <x v="28"/>
    <x v="1"/>
    <x v="2"/>
    <x v="1"/>
    <x v="64"/>
    <x v="18"/>
    <x v="0"/>
    <x v="1"/>
  </r>
  <r>
    <x v="65"/>
    <x v="18"/>
    <x v="1"/>
    <x v="4"/>
    <x v="0"/>
    <x v="65"/>
    <x v="8"/>
    <x v="0"/>
    <x v="0"/>
  </r>
  <r>
    <x v="66"/>
    <x v="28"/>
    <x v="0"/>
    <x v="0"/>
    <x v="3"/>
    <x v="66"/>
    <x v="18"/>
    <x v="1"/>
    <x v="4"/>
  </r>
  <r>
    <x v="67"/>
    <x v="28"/>
    <x v="0"/>
    <x v="3"/>
    <x v="2"/>
    <x v="67"/>
    <x v="2"/>
    <x v="0"/>
    <x v="3"/>
  </r>
  <r>
    <x v="68"/>
    <x v="22"/>
    <x v="1"/>
    <x v="1"/>
    <x v="0"/>
    <x v="68"/>
    <x v="2"/>
    <x v="1"/>
    <x v="0"/>
  </r>
  <r>
    <x v="69"/>
    <x v="1"/>
    <x v="0"/>
    <x v="1"/>
    <x v="1"/>
    <x v="69"/>
    <x v="14"/>
    <x v="0"/>
    <x v="4"/>
  </r>
  <r>
    <x v="70"/>
    <x v="19"/>
    <x v="1"/>
    <x v="4"/>
    <x v="0"/>
    <x v="70"/>
    <x v="8"/>
    <x v="0"/>
    <x v="1"/>
  </r>
  <r>
    <x v="71"/>
    <x v="11"/>
    <x v="1"/>
    <x v="3"/>
    <x v="2"/>
    <x v="71"/>
    <x v="8"/>
    <x v="0"/>
    <x v="4"/>
  </r>
  <r>
    <x v="72"/>
    <x v="19"/>
    <x v="1"/>
    <x v="3"/>
    <x v="2"/>
    <x v="72"/>
    <x v="20"/>
    <x v="0"/>
    <x v="3"/>
  </r>
  <r>
    <x v="73"/>
    <x v="4"/>
    <x v="0"/>
    <x v="0"/>
    <x v="1"/>
    <x v="73"/>
    <x v="18"/>
    <x v="0"/>
    <x v="3"/>
  </r>
  <r>
    <x v="74"/>
    <x v="1"/>
    <x v="0"/>
    <x v="0"/>
    <x v="0"/>
    <x v="74"/>
    <x v="12"/>
    <x v="1"/>
    <x v="4"/>
  </r>
  <r>
    <x v="75"/>
    <x v="13"/>
    <x v="1"/>
    <x v="1"/>
    <x v="2"/>
    <x v="75"/>
    <x v="10"/>
    <x v="0"/>
    <x v="1"/>
  </r>
  <r>
    <x v="76"/>
    <x v="27"/>
    <x v="0"/>
    <x v="4"/>
    <x v="2"/>
    <x v="76"/>
    <x v="4"/>
    <x v="1"/>
    <x v="4"/>
  </r>
  <r>
    <x v="77"/>
    <x v="19"/>
    <x v="0"/>
    <x v="1"/>
    <x v="1"/>
    <x v="77"/>
    <x v="10"/>
    <x v="1"/>
    <x v="2"/>
  </r>
  <r>
    <x v="78"/>
    <x v="22"/>
    <x v="1"/>
    <x v="2"/>
    <x v="0"/>
    <x v="78"/>
    <x v="4"/>
    <x v="1"/>
    <x v="2"/>
  </r>
  <r>
    <x v="79"/>
    <x v="4"/>
    <x v="0"/>
    <x v="4"/>
    <x v="3"/>
    <x v="79"/>
    <x v="9"/>
    <x v="0"/>
    <x v="1"/>
  </r>
  <r>
    <x v="80"/>
    <x v="15"/>
    <x v="1"/>
    <x v="1"/>
    <x v="2"/>
    <x v="80"/>
    <x v="2"/>
    <x v="0"/>
    <x v="2"/>
  </r>
  <r>
    <x v="81"/>
    <x v="2"/>
    <x v="1"/>
    <x v="1"/>
    <x v="1"/>
    <x v="81"/>
    <x v="4"/>
    <x v="1"/>
    <x v="4"/>
  </r>
  <r>
    <x v="82"/>
    <x v="23"/>
    <x v="1"/>
    <x v="0"/>
    <x v="1"/>
    <x v="82"/>
    <x v="12"/>
    <x v="0"/>
    <x v="2"/>
  </r>
  <r>
    <x v="83"/>
    <x v="19"/>
    <x v="1"/>
    <x v="3"/>
    <x v="3"/>
    <x v="83"/>
    <x v="12"/>
    <x v="0"/>
    <x v="1"/>
  </r>
  <r>
    <x v="84"/>
    <x v="6"/>
    <x v="1"/>
    <x v="3"/>
    <x v="3"/>
    <x v="84"/>
    <x v="5"/>
    <x v="1"/>
    <x v="1"/>
  </r>
  <r>
    <x v="85"/>
    <x v="18"/>
    <x v="0"/>
    <x v="2"/>
    <x v="3"/>
    <x v="85"/>
    <x v="11"/>
    <x v="0"/>
    <x v="4"/>
  </r>
  <r>
    <x v="86"/>
    <x v="31"/>
    <x v="1"/>
    <x v="2"/>
    <x v="0"/>
    <x v="86"/>
    <x v="8"/>
    <x v="0"/>
    <x v="2"/>
  </r>
  <r>
    <x v="87"/>
    <x v="34"/>
    <x v="1"/>
    <x v="1"/>
    <x v="1"/>
    <x v="87"/>
    <x v="19"/>
    <x v="0"/>
    <x v="3"/>
  </r>
  <r>
    <x v="88"/>
    <x v="27"/>
    <x v="0"/>
    <x v="4"/>
    <x v="0"/>
    <x v="88"/>
    <x v="17"/>
    <x v="1"/>
    <x v="2"/>
  </r>
  <r>
    <x v="89"/>
    <x v="26"/>
    <x v="1"/>
    <x v="0"/>
    <x v="2"/>
    <x v="89"/>
    <x v="15"/>
    <x v="0"/>
    <x v="3"/>
  </r>
  <r>
    <x v="90"/>
    <x v="3"/>
    <x v="0"/>
    <x v="1"/>
    <x v="3"/>
    <x v="90"/>
    <x v="8"/>
    <x v="0"/>
    <x v="0"/>
  </r>
  <r>
    <x v="91"/>
    <x v="2"/>
    <x v="0"/>
    <x v="1"/>
    <x v="0"/>
    <x v="91"/>
    <x v="4"/>
    <x v="0"/>
    <x v="1"/>
  </r>
  <r>
    <x v="92"/>
    <x v="16"/>
    <x v="0"/>
    <x v="1"/>
    <x v="2"/>
    <x v="92"/>
    <x v="0"/>
    <x v="0"/>
    <x v="3"/>
  </r>
  <r>
    <x v="93"/>
    <x v="15"/>
    <x v="0"/>
    <x v="2"/>
    <x v="2"/>
    <x v="93"/>
    <x v="19"/>
    <x v="0"/>
    <x v="2"/>
  </r>
  <r>
    <x v="94"/>
    <x v="21"/>
    <x v="0"/>
    <x v="1"/>
    <x v="2"/>
    <x v="94"/>
    <x v="9"/>
    <x v="0"/>
    <x v="1"/>
  </r>
  <r>
    <x v="95"/>
    <x v="10"/>
    <x v="0"/>
    <x v="3"/>
    <x v="4"/>
    <x v="95"/>
    <x v="7"/>
    <x v="0"/>
    <x v="3"/>
  </r>
  <r>
    <x v="96"/>
    <x v="25"/>
    <x v="0"/>
    <x v="2"/>
    <x v="3"/>
    <x v="96"/>
    <x v="4"/>
    <x v="0"/>
    <x v="0"/>
  </r>
  <r>
    <x v="97"/>
    <x v="10"/>
    <x v="0"/>
    <x v="3"/>
    <x v="0"/>
    <x v="97"/>
    <x v="15"/>
    <x v="0"/>
    <x v="0"/>
  </r>
  <r>
    <x v="98"/>
    <x v="33"/>
    <x v="0"/>
    <x v="0"/>
    <x v="2"/>
    <x v="98"/>
    <x v="7"/>
    <x v="1"/>
    <x v="3"/>
  </r>
  <r>
    <x v="99"/>
    <x v="22"/>
    <x v="0"/>
    <x v="1"/>
    <x v="0"/>
    <x v="99"/>
    <x v="5"/>
    <x v="0"/>
    <x v="1"/>
  </r>
  <r>
    <x v="100"/>
    <x v="32"/>
    <x v="1"/>
    <x v="1"/>
    <x v="0"/>
    <x v="100"/>
    <x v="17"/>
    <x v="0"/>
    <x v="4"/>
  </r>
  <r>
    <x v="101"/>
    <x v="2"/>
    <x v="1"/>
    <x v="1"/>
    <x v="1"/>
    <x v="101"/>
    <x v="2"/>
    <x v="0"/>
    <x v="3"/>
  </r>
  <r>
    <x v="102"/>
    <x v="12"/>
    <x v="0"/>
    <x v="1"/>
    <x v="3"/>
    <x v="102"/>
    <x v="3"/>
    <x v="1"/>
    <x v="4"/>
  </r>
  <r>
    <x v="103"/>
    <x v="6"/>
    <x v="1"/>
    <x v="3"/>
    <x v="3"/>
    <x v="103"/>
    <x v="1"/>
    <x v="1"/>
    <x v="4"/>
  </r>
  <r>
    <x v="104"/>
    <x v="18"/>
    <x v="1"/>
    <x v="1"/>
    <x v="4"/>
    <x v="104"/>
    <x v="3"/>
    <x v="0"/>
    <x v="4"/>
  </r>
  <r>
    <x v="105"/>
    <x v="20"/>
    <x v="1"/>
    <x v="0"/>
    <x v="0"/>
    <x v="105"/>
    <x v="19"/>
    <x v="1"/>
    <x v="0"/>
  </r>
  <r>
    <x v="106"/>
    <x v="0"/>
    <x v="1"/>
    <x v="1"/>
    <x v="3"/>
    <x v="106"/>
    <x v="10"/>
    <x v="0"/>
    <x v="4"/>
  </r>
  <r>
    <x v="107"/>
    <x v="2"/>
    <x v="0"/>
    <x v="0"/>
    <x v="0"/>
    <x v="107"/>
    <x v="0"/>
    <x v="0"/>
    <x v="1"/>
  </r>
  <r>
    <x v="108"/>
    <x v="33"/>
    <x v="1"/>
    <x v="2"/>
    <x v="2"/>
    <x v="108"/>
    <x v="6"/>
    <x v="1"/>
    <x v="4"/>
  </r>
  <r>
    <x v="109"/>
    <x v="35"/>
    <x v="1"/>
    <x v="3"/>
    <x v="1"/>
    <x v="109"/>
    <x v="15"/>
    <x v="0"/>
    <x v="3"/>
  </r>
  <r>
    <x v="110"/>
    <x v="27"/>
    <x v="1"/>
    <x v="2"/>
    <x v="3"/>
    <x v="110"/>
    <x v="7"/>
    <x v="0"/>
    <x v="3"/>
  </r>
  <r>
    <x v="111"/>
    <x v="19"/>
    <x v="1"/>
    <x v="2"/>
    <x v="1"/>
    <x v="111"/>
    <x v="5"/>
    <x v="0"/>
    <x v="4"/>
  </r>
  <r>
    <x v="112"/>
    <x v="5"/>
    <x v="1"/>
    <x v="3"/>
    <x v="4"/>
    <x v="112"/>
    <x v="16"/>
    <x v="0"/>
    <x v="4"/>
  </r>
  <r>
    <x v="113"/>
    <x v="25"/>
    <x v="0"/>
    <x v="1"/>
    <x v="1"/>
    <x v="113"/>
    <x v="13"/>
    <x v="0"/>
    <x v="0"/>
  </r>
  <r>
    <x v="114"/>
    <x v="25"/>
    <x v="0"/>
    <x v="4"/>
    <x v="4"/>
    <x v="114"/>
    <x v="2"/>
    <x v="0"/>
    <x v="3"/>
  </r>
  <r>
    <x v="115"/>
    <x v="36"/>
    <x v="0"/>
    <x v="4"/>
    <x v="2"/>
    <x v="115"/>
    <x v="10"/>
    <x v="0"/>
    <x v="1"/>
  </r>
  <r>
    <x v="116"/>
    <x v="24"/>
    <x v="0"/>
    <x v="0"/>
    <x v="3"/>
    <x v="116"/>
    <x v="7"/>
    <x v="1"/>
    <x v="1"/>
  </r>
  <r>
    <x v="117"/>
    <x v="37"/>
    <x v="1"/>
    <x v="1"/>
    <x v="0"/>
    <x v="117"/>
    <x v="1"/>
    <x v="0"/>
    <x v="0"/>
  </r>
  <r>
    <x v="118"/>
    <x v="1"/>
    <x v="0"/>
    <x v="2"/>
    <x v="0"/>
    <x v="118"/>
    <x v="19"/>
    <x v="0"/>
    <x v="4"/>
  </r>
  <r>
    <x v="119"/>
    <x v="31"/>
    <x v="0"/>
    <x v="0"/>
    <x v="2"/>
    <x v="119"/>
    <x v="5"/>
    <x v="0"/>
    <x v="4"/>
  </r>
  <r>
    <x v="120"/>
    <x v="14"/>
    <x v="0"/>
    <x v="3"/>
    <x v="1"/>
    <x v="120"/>
    <x v="0"/>
    <x v="0"/>
    <x v="2"/>
  </r>
  <r>
    <x v="121"/>
    <x v="2"/>
    <x v="0"/>
    <x v="4"/>
    <x v="1"/>
    <x v="121"/>
    <x v="15"/>
    <x v="0"/>
    <x v="2"/>
  </r>
  <r>
    <x v="122"/>
    <x v="13"/>
    <x v="1"/>
    <x v="0"/>
    <x v="4"/>
    <x v="122"/>
    <x v="13"/>
    <x v="1"/>
    <x v="2"/>
  </r>
  <r>
    <x v="123"/>
    <x v="17"/>
    <x v="0"/>
    <x v="2"/>
    <x v="2"/>
    <x v="123"/>
    <x v="16"/>
    <x v="0"/>
    <x v="4"/>
  </r>
  <r>
    <x v="124"/>
    <x v="19"/>
    <x v="0"/>
    <x v="2"/>
    <x v="4"/>
    <x v="124"/>
    <x v="4"/>
    <x v="1"/>
    <x v="2"/>
  </r>
  <r>
    <x v="125"/>
    <x v="12"/>
    <x v="1"/>
    <x v="4"/>
    <x v="3"/>
    <x v="125"/>
    <x v="11"/>
    <x v="0"/>
    <x v="1"/>
  </r>
  <r>
    <x v="126"/>
    <x v="12"/>
    <x v="1"/>
    <x v="2"/>
    <x v="2"/>
    <x v="126"/>
    <x v="19"/>
    <x v="0"/>
    <x v="4"/>
  </r>
  <r>
    <x v="127"/>
    <x v="29"/>
    <x v="0"/>
    <x v="0"/>
    <x v="3"/>
    <x v="127"/>
    <x v="14"/>
    <x v="0"/>
    <x v="4"/>
  </r>
  <r>
    <x v="128"/>
    <x v="22"/>
    <x v="1"/>
    <x v="2"/>
    <x v="0"/>
    <x v="128"/>
    <x v="10"/>
    <x v="0"/>
    <x v="0"/>
  </r>
  <r>
    <x v="129"/>
    <x v="6"/>
    <x v="0"/>
    <x v="2"/>
    <x v="2"/>
    <x v="129"/>
    <x v="4"/>
    <x v="0"/>
    <x v="3"/>
  </r>
  <r>
    <x v="130"/>
    <x v="36"/>
    <x v="0"/>
    <x v="1"/>
    <x v="4"/>
    <x v="130"/>
    <x v="18"/>
    <x v="0"/>
    <x v="2"/>
  </r>
  <r>
    <x v="131"/>
    <x v="16"/>
    <x v="0"/>
    <x v="3"/>
    <x v="2"/>
    <x v="131"/>
    <x v="16"/>
    <x v="0"/>
    <x v="2"/>
  </r>
  <r>
    <x v="132"/>
    <x v="25"/>
    <x v="0"/>
    <x v="4"/>
    <x v="2"/>
    <x v="132"/>
    <x v="7"/>
    <x v="0"/>
    <x v="1"/>
  </r>
  <r>
    <x v="133"/>
    <x v="15"/>
    <x v="0"/>
    <x v="1"/>
    <x v="3"/>
    <x v="133"/>
    <x v="7"/>
    <x v="0"/>
    <x v="4"/>
  </r>
  <r>
    <x v="134"/>
    <x v="35"/>
    <x v="1"/>
    <x v="3"/>
    <x v="1"/>
    <x v="17"/>
    <x v="18"/>
    <x v="0"/>
    <x v="3"/>
  </r>
  <r>
    <x v="135"/>
    <x v="15"/>
    <x v="0"/>
    <x v="2"/>
    <x v="1"/>
    <x v="134"/>
    <x v="19"/>
    <x v="1"/>
    <x v="4"/>
  </r>
  <r>
    <x v="136"/>
    <x v="3"/>
    <x v="0"/>
    <x v="1"/>
    <x v="1"/>
    <x v="135"/>
    <x v="19"/>
    <x v="0"/>
    <x v="3"/>
  </r>
  <r>
    <x v="137"/>
    <x v="29"/>
    <x v="1"/>
    <x v="3"/>
    <x v="3"/>
    <x v="136"/>
    <x v="6"/>
    <x v="0"/>
    <x v="0"/>
  </r>
  <r>
    <x v="138"/>
    <x v="19"/>
    <x v="1"/>
    <x v="4"/>
    <x v="4"/>
    <x v="137"/>
    <x v="20"/>
    <x v="0"/>
    <x v="0"/>
  </r>
  <r>
    <x v="139"/>
    <x v="27"/>
    <x v="1"/>
    <x v="1"/>
    <x v="1"/>
    <x v="138"/>
    <x v="20"/>
    <x v="0"/>
    <x v="4"/>
  </r>
  <r>
    <x v="140"/>
    <x v="16"/>
    <x v="1"/>
    <x v="2"/>
    <x v="1"/>
    <x v="139"/>
    <x v="0"/>
    <x v="1"/>
    <x v="1"/>
  </r>
  <r>
    <x v="141"/>
    <x v="12"/>
    <x v="0"/>
    <x v="0"/>
    <x v="2"/>
    <x v="140"/>
    <x v="15"/>
    <x v="0"/>
    <x v="0"/>
  </r>
  <r>
    <x v="142"/>
    <x v="30"/>
    <x v="0"/>
    <x v="3"/>
    <x v="0"/>
    <x v="141"/>
    <x v="3"/>
    <x v="0"/>
    <x v="1"/>
  </r>
  <r>
    <x v="143"/>
    <x v="4"/>
    <x v="0"/>
    <x v="4"/>
    <x v="4"/>
    <x v="142"/>
    <x v="10"/>
    <x v="0"/>
    <x v="1"/>
  </r>
  <r>
    <x v="144"/>
    <x v="6"/>
    <x v="0"/>
    <x v="0"/>
    <x v="1"/>
    <x v="143"/>
    <x v="2"/>
    <x v="1"/>
    <x v="0"/>
  </r>
  <r>
    <x v="145"/>
    <x v="38"/>
    <x v="0"/>
    <x v="1"/>
    <x v="0"/>
    <x v="144"/>
    <x v="0"/>
    <x v="1"/>
    <x v="0"/>
  </r>
  <r>
    <x v="146"/>
    <x v="24"/>
    <x v="0"/>
    <x v="1"/>
    <x v="0"/>
    <x v="145"/>
    <x v="8"/>
    <x v="0"/>
    <x v="3"/>
  </r>
  <r>
    <x v="147"/>
    <x v="10"/>
    <x v="1"/>
    <x v="3"/>
    <x v="3"/>
    <x v="146"/>
    <x v="18"/>
    <x v="0"/>
    <x v="3"/>
  </r>
  <r>
    <x v="148"/>
    <x v="23"/>
    <x v="0"/>
    <x v="1"/>
    <x v="0"/>
    <x v="147"/>
    <x v="16"/>
    <x v="0"/>
    <x v="0"/>
  </r>
  <r>
    <x v="149"/>
    <x v="2"/>
    <x v="0"/>
    <x v="4"/>
    <x v="0"/>
    <x v="148"/>
    <x v="17"/>
    <x v="0"/>
    <x v="3"/>
  </r>
  <r>
    <x v="150"/>
    <x v="32"/>
    <x v="1"/>
    <x v="1"/>
    <x v="4"/>
    <x v="149"/>
    <x v="6"/>
    <x v="0"/>
    <x v="1"/>
  </r>
  <r>
    <x v="151"/>
    <x v="33"/>
    <x v="1"/>
    <x v="4"/>
    <x v="3"/>
    <x v="150"/>
    <x v="4"/>
    <x v="0"/>
    <x v="0"/>
  </r>
  <r>
    <x v="152"/>
    <x v="1"/>
    <x v="1"/>
    <x v="4"/>
    <x v="4"/>
    <x v="151"/>
    <x v="17"/>
    <x v="0"/>
    <x v="0"/>
  </r>
  <r>
    <x v="153"/>
    <x v="25"/>
    <x v="1"/>
    <x v="3"/>
    <x v="2"/>
    <x v="152"/>
    <x v="9"/>
    <x v="0"/>
    <x v="4"/>
  </r>
  <r>
    <x v="154"/>
    <x v="1"/>
    <x v="1"/>
    <x v="2"/>
    <x v="1"/>
    <x v="153"/>
    <x v="9"/>
    <x v="1"/>
    <x v="1"/>
  </r>
  <r>
    <x v="155"/>
    <x v="4"/>
    <x v="1"/>
    <x v="0"/>
    <x v="3"/>
    <x v="154"/>
    <x v="7"/>
    <x v="1"/>
    <x v="2"/>
  </r>
  <r>
    <x v="156"/>
    <x v="18"/>
    <x v="0"/>
    <x v="4"/>
    <x v="1"/>
    <x v="155"/>
    <x v="18"/>
    <x v="0"/>
    <x v="1"/>
  </r>
  <r>
    <x v="157"/>
    <x v="22"/>
    <x v="0"/>
    <x v="4"/>
    <x v="1"/>
    <x v="156"/>
    <x v="20"/>
    <x v="0"/>
    <x v="3"/>
  </r>
  <r>
    <x v="158"/>
    <x v="5"/>
    <x v="1"/>
    <x v="1"/>
    <x v="4"/>
    <x v="157"/>
    <x v="14"/>
    <x v="1"/>
    <x v="4"/>
  </r>
  <r>
    <x v="159"/>
    <x v="31"/>
    <x v="1"/>
    <x v="3"/>
    <x v="0"/>
    <x v="158"/>
    <x v="11"/>
    <x v="0"/>
    <x v="4"/>
  </r>
  <r>
    <x v="160"/>
    <x v="32"/>
    <x v="1"/>
    <x v="3"/>
    <x v="0"/>
    <x v="159"/>
    <x v="0"/>
    <x v="0"/>
    <x v="3"/>
  </r>
  <r>
    <x v="161"/>
    <x v="25"/>
    <x v="0"/>
    <x v="4"/>
    <x v="0"/>
    <x v="160"/>
    <x v="2"/>
    <x v="0"/>
    <x v="4"/>
  </r>
  <r>
    <x v="162"/>
    <x v="0"/>
    <x v="0"/>
    <x v="2"/>
    <x v="1"/>
    <x v="161"/>
    <x v="0"/>
    <x v="0"/>
    <x v="0"/>
  </r>
  <r>
    <x v="163"/>
    <x v="16"/>
    <x v="0"/>
    <x v="2"/>
    <x v="4"/>
    <x v="162"/>
    <x v="16"/>
    <x v="1"/>
    <x v="4"/>
  </r>
  <r>
    <x v="164"/>
    <x v="7"/>
    <x v="1"/>
    <x v="4"/>
    <x v="4"/>
    <x v="163"/>
    <x v="6"/>
    <x v="1"/>
    <x v="1"/>
  </r>
  <r>
    <x v="165"/>
    <x v="4"/>
    <x v="0"/>
    <x v="1"/>
    <x v="3"/>
    <x v="164"/>
    <x v="1"/>
    <x v="0"/>
    <x v="1"/>
  </r>
  <r>
    <x v="166"/>
    <x v="26"/>
    <x v="0"/>
    <x v="3"/>
    <x v="4"/>
    <x v="165"/>
    <x v="11"/>
    <x v="0"/>
    <x v="3"/>
  </r>
  <r>
    <x v="167"/>
    <x v="14"/>
    <x v="0"/>
    <x v="2"/>
    <x v="4"/>
    <x v="166"/>
    <x v="20"/>
    <x v="0"/>
    <x v="2"/>
  </r>
  <r>
    <x v="168"/>
    <x v="28"/>
    <x v="0"/>
    <x v="2"/>
    <x v="1"/>
    <x v="167"/>
    <x v="10"/>
    <x v="0"/>
    <x v="0"/>
  </r>
  <r>
    <x v="169"/>
    <x v="17"/>
    <x v="1"/>
    <x v="4"/>
    <x v="2"/>
    <x v="168"/>
    <x v="18"/>
    <x v="1"/>
    <x v="0"/>
  </r>
  <r>
    <x v="170"/>
    <x v="21"/>
    <x v="0"/>
    <x v="3"/>
    <x v="1"/>
    <x v="169"/>
    <x v="3"/>
    <x v="1"/>
    <x v="3"/>
  </r>
  <r>
    <x v="171"/>
    <x v="23"/>
    <x v="1"/>
    <x v="4"/>
    <x v="1"/>
    <x v="170"/>
    <x v="16"/>
    <x v="0"/>
    <x v="4"/>
  </r>
  <r>
    <x v="172"/>
    <x v="31"/>
    <x v="1"/>
    <x v="1"/>
    <x v="2"/>
    <x v="171"/>
    <x v="12"/>
    <x v="0"/>
    <x v="2"/>
  </r>
  <r>
    <x v="173"/>
    <x v="29"/>
    <x v="0"/>
    <x v="4"/>
    <x v="4"/>
    <x v="172"/>
    <x v="0"/>
    <x v="0"/>
    <x v="1"/>
  </r>
  <r>
    <x v="174"/>
    <x v="7"/>
    <x v="1"/>
    <x v="3"/>
    <x v="3"/>
    <x v="173"/>
    <x v="1"/>
    <x v="0"/>
    <x v="2"/>
  </r>
  <r>
    <x v="175"/>
    <x v="34"/>
    <x v="1"/>
    <x v="2"/>
    <x v="0"/>
    <x v="174"/>
    <x v="2"/>
    <x v="0"/>
    <x v="3"/>
  </r>
  <r>
    <x v="176"/>
    <x v="28"/>
    <x v="1"/>
    <x v="1"/>
    <x v="3"/>
    <x v="175"/>
    <x v="6"/>
    <x v="0"/>
    <x v="3"/>
  </r>
  <r>
    <x v="177"/>
    <x v="23"/>
    <x v="1"/>
    <x v="4"/>
    <x v="0"/>
    <x v="176"/>
    <x v="0"/>
    <x v="0"/>
    <x v="0"/>
  </r>
  <r>
    <x v="178"/>
    <x v="3"/>
    <x v="1"/>
    <x v="2"/>
    <x v="0"/>
    <x v="177"/>
    <x v="20"/>
    <x v="1"/>
    <x v="2"/>
  </r>
  <r>
    <x v="179"/>
    <x v="22"/>
    <x v="1"/>
    <x v="1"/>
    <x v="0"/>
    <x v="178"/>
    <x v="10"/>
    <x v="0"/>
    <x v="3"/>
  </r>
  <r>
    <x v="180"/>
    <x v="0"/>
    <x v="1"/>
    <x v="4"/>
    <x v="2"/>
    <x v="179"/>
    <x v="12"/>
    <x v="0"/>
    <x v="1"/>
  </r>
  <r>
    <x v="181"/>
    <x v="1"/>
    <x v="0"/>
    <x v="3"/>
    <x v="3"/>
    <x v="180"/>
    <x v="1"/>
    <x v="0"/>
    <x v="2"/>
  </r>
  <r>
    <x v="182"/>
    <x v="13"/>
    <x v="1"/>
    <x v="1"/>
    <x v="1"/>
    <x v="181"/>
    <x v="8"/>
    <x v="1"/>
    <x v="2"/>
  </r>
  <r>
    <x v="183"/>
    <x v="21"/>
    <x v="1"/>
    <x v="3"/>
    <x v="3"/>
    <x v="182"/>
    <x v="9"/>
    <x v="0"/>
    <x v="3"/>
  </r>
  <r>
    <x v="184"/>
    <x v="28"/>
    <x v="0"/>
    <x v="1"/>
    <x v="4"/>
    <x v="183"/>
    <x v="12"/>
    <x v="0"/>
    <x v="2"/>
  </r>
  <r>
    <x v="185"/>
    <x v="15"/>
    <x v="1"/>
    <x v="3"/>
    <x v="4"/>
    <x v="184"/>
    <x v="19"/>
    <x v="0"/>
    <x v="2"/>
  </r>
  <r>
    <x v="186"/>
    <x v="27"/>
    <x v="0"/>
    <x v="0"/>
    <x v="3"/>
    <x v="185"/>
    <x v="19"/>
    <x v="1"/>
    <x v="3"/>
  </r>
  <r>
    <x v="187"/>
    <x v="16"/>
    <x v="0"/>
    <x v="1"/>
    <x v="0"/>
    <x v="186"/>
    <x v="15"/>
    <x v="1"/>
    <x v="4"/>
  </r>
  <r>
    <x v="188"/>
    <x v="30"/>
    <x v="1"/>
    <x v="0"/>
    <x v="1"/>
    <x v="187"/>
    <x v="10"/>
    <x v="0"/>
    <x v="2"/>
  </r>
  <r>
    <x v="189"/>
    <x v="5"/>
    <x v="1"/>
    <x v="3"/>
    <x v="3"/>
    <x v="188"/>
    <x v="11"/>
    <x v="0"/>
    <x v="1"/>
  </r>
  <r>
    <x v="190"/>
    <x v="6"/>
    <x v="0"/>
    <x v="0"/>
    <x v="3"/>
    <x v="189"/>
    <x v="13"/>
    <x v="0"/>
    <x v="0"/>
  </r>
  <r>
    <x v="191"/>
    <x v="38"/>
    <x v="1"/>
    <x v="0"/>
    <x v="0"/>
    <x v="190"/>
    <x v="6"/>
    <x v="0"/>
    <x v="0"/>
  </r>
  <r>
    <x v="192"/>
    <x v="12"/>
    <x v="0"/>
    <x v="2"/>
    <x v="0"/>
    <x v="191"/>
    <x v="20"/>
    <x v="0"/>
    <x v="3"/>
  </r>
  <r>
    <x v="193"/>
    <x v="15"/>
    <x v="0"/>
    <x v="3"/>
    <x v="2"/>
    <x v="23"/>
    <x v="12"/>
    <x v="1"/>
    <x v="3"/>
  </r>
  <r>
    <x v="194"/>
    <x v="27"/>
    <x v="0"/>
    <x v="2"/>
    <x v="4"/>
    <x v="192"/>
    <x v="15"/>
    <x v="1"/>
    <x v="4"/>
  </r>
  <r>
    <x v="195"/>
    <x v="8"/>
    <x v="0"/>
    <x v="4"/>
    <x v="3"/>
    <x v="193"/>
    <x v="18"/>
    <x v="0"/>
    <x v="2"/>
  </r>
  <r>
    <x v="196"/>
    <x v="29"/>
    <x v="1"/>
    <x v="3"/>
    <x v="2"/>
    <x v="194"/>
    <x v="13"/>
    <x v="0"/>
    <x v="4"/>
  </r>
  <r>
    <x v="197"/>
    <x v="10"/>
    <x v="0"/>
    <x v="3"/>
    <x v="2"/>
    <x v="195"/>
    <x v="13"/>
    <x v="0"/>
    <x v="4"/>
  </r>
  <r>
    <x v="198"/>
    <x v="37"/>
    <x v="0"/>
    <x v="0"/>
    <x v="3"/>
    <x v="196"/>
    <x v="4"/>
    <x v="0"/>
    <x v="2"/>
  </r>
  <r>
    <x v="199"/>
    <x v="18"/>
    <x v="0"/>
    <x v="3"/>
    <x v="0"/>
    <x v="197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 of Attri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4" firstHeaderRow="1" firstDataRow="1" firstDataCol="1"/>
  <pivotFields count="9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showDataAs="percentOfTotal" baseField="0" baseItem="0" numFmtId="10"/>
  </dataFields>
  <formats count="6">
    <format dxfId="0">
      <pivotArea type="all" dataOnly="0" outline="0" fieldPosition="0"/>
    </format>
    <format dxfId="1">
      <pivotArea collapsedLevelsAreSubtotals="1" fieldPosition="0"/>
    </format>
    <format dxfId="2">
      <pivotArea grandRow="1"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um of employee I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C4" firstHeaderRow="0" firstDataRow="1" firstDataCol="1"/>
  <pivotFields count="9">
    <pivotField dataField="1" compact="0" countASubtotal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countA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axis="axisRow" compact="0" showAll="0">
      <items count="3">
        <item sd="0" x="0"/>
        <item sd="0"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loyeeID" fld="0" baseField="0" baseItem="0"/>
    <dataField name="Count of EmployeeID" fld="0" subtotal="count" showDataAs="percentOfTotal" baseField="0" baseItem="0" numFmtId="10"/>
  </dataFields>
  <formats count="12">
    <format dxfId="6">
      <pivotArea collapsedLevelsAreSubtotals="1" fieldPosition="0"/>
    </format>
    <format dxfId="7">
      <pivotArea collapsedLevelsAreSubtotals="1" fieldPosition="0"/>
    </format>
    <format dxfId="8">
      <pivotArea grandRow="1" collapsedLevelsAreSubtotals="1" fieldPosition="0"/>
    </format>
    <format dxfId="9">
      <pivotArea collapsedLevelsAreSubtotals="1" fieldPosition="0"/>
    </format>
    <format dxfId="1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fieldPosition="0">
        <references count="1">
          <reference field="4294967294" count="1">
            <x v="0"/>
          </reference>
        </references>
      </pivotArea>
    </format>
    <format dxfId="12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fieldPosition="0">
        <references count="1">
          <reference field="4294967294" count="1">
            <x v="1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Average (Salary,Years )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2" firstHeaderRow="0" firstDataRow="1" firstDataCol="0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dataField="1"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dataField="1"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YearsAtCompany" fld="6" subtotal="average" baseField="0" baseItem="0"/>
    <dataField name="Average of Salary" fld="5" subtotal="average" baseField="0" baseItem="0"/>
  </dataFields>
  <formats count="18">
    <format dxfId="18">
      <pivotArea collapsedLevelsAreSubtotals="1" fieldPosition="0"/>
    </format>
    <format dxfId="1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cout of employe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9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Depatmen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8" firstHeaderRow="1" firstDataRow="2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axis="axisCol" dataField="1"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Attrition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Average Sala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4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dataField="1"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Salary" fld="5" subtotal="average" baseField="0" baseItem="0"/>
  </dataFields>
  <formats count="4"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Average Job Satisfac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2"/>
        <item x="4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JobSatisfaction" fld="8" subtotal="average" baseField="0" baseItem="0"/>
  </dataFields>
  <formats count="40">
    <format dxfId="40">
      <pivotArea collapsedLevelsAreSubtotals="1" fieldPosition="0">
        <references count="1">
          <reference field="3" count="1" selected="0">
            <x v="0"/>
          </reference>
        </references>
      </pivotArea>
    </format>
    <format dxfId="41">
      <pivotArea collapsedLevelsAreSubtotals="1" fieldPosition="0">
        <references count="1">
          <reference field="3" count="1" selected="0">
            <x v="1"/>
          </reference>
        </references>
      </pivotArea>
    </format>
    <format dxfId="42">
      <pivotArea collapsedLevelsAreSubtotals="1" fieldPosition="0">
        <references count="1">
          <reference field="3" count="1" selected="0">
            <x v="2"/>
          </reference>
        </references>
      </pivotArea>
    </format>
    <format dxfId="43">
      <pivotArea collapsedLevelsAreSubtotals="1" fieldPosition="0">
        <references count="1">
          <reference field="3" count="1" selected="0">
            <x v="3"/>
          </reference>
        </references>
      </pivotArea>
    </format>
    <format dxfId="44">
      <pivotArea collapsedLevelsAreSubtotals="1" fieldPosition="0">
        <references count="1">
          <reference field="3" count="1" selected="0">
            <x v="4"/>
          </reference>
        </references>
      </pivotArea>
    </format>
    <format dxfId="45">
      <pivotArea collapsedLevelsAreSubtotals="1" fieldPosition="0">
        <references count="1">
          <reference field="3" count="1" selected="0">
            <x v="0"/>
          </reference>
        </references>
      </pivotArea>
    </format>
    <format dxfId="46">
      <pivotArea collapsedLevelsAreSubtotals="1" fieldPosition="0">
        <references count="1">
          <reference field="3" count="1" selected="0">
            <x v="1"/>
          </reference>
        </references>
      </pivotArea>
    </format>
    <format dxfId="47">
      <pivotArea collapsedLevelsAreSubtotals="1" fieldPosition="0">
        <references count="1">
          <reference field="3" count="1" selected="0">
            <x v="2"/>
          </reference>
        </references>
      </pivotArea>
    </format>
    <format dxfId="48">
      <pivotArea collapsedLevelsAreSubtotals="1" fieldPosition="0">
        <references count="1">
          <reference field="3" count="1" selected="0">
            <x v="3"/>
          </reference>
        </references>
      </pivotArea>
    </format>
    <format dxfId="49">
      <pivotArea collapsedLevelsAreSubtotals="1" fieldPosition="0">
        <references count="1">
          <reference field="3" count="1" selected="0">
            <x v="4"/>
          </reference>
        </references>
      </pivotArea>
    </format>
    <format dxfId="50">
      <pivotArea collapsedLevelsAreSubtotals="1" fieldPosition="0">
        <references count="1">
          <reference field="3" count="1" selected="0">
            <x v="0"/>
          </reference>
        </references>
      </pivotArea>
    </format>
    <format dxfId="51">
      <pivotArea collapsedLevelsAreSubtotals="1" fieldPosition="0">
        <references count="1">
          <reference field="3" count="1" selected="0">
            <x v="1"/>
          </reference>
        </references>
      </pivotArea>
    </format>
    <format dxfId="52">
      <pivotArea collapsedLevelsAreSubtotals="1" fieldPosition="0">
        <references count="1">
          <reference field="3" count="1" selected="0">
            <x v="2"/>
          </reference>
        </references>
      </pivotArea>
    </format>
    <format dxfId="53">
      <pivotArea collapsedLevelsAreSubtotals="1" fieldPosition="0">
        <references count="1">
          <reference field="3" count="1" selected="0">
            <x v="3"/>
          </reference>
        </references>
      </pivotArea>
    </format>
    <format dxfId="54">
      <pivotArea collapsedLevelsAreSubtotals="1" fieldPosition="0">
        <references count="1">
          <reference field="3" count="1" selected="0">
            <x v="4"/>
          </reference>
        </references>
      </pivotArea>
    </format>
    <format dxfId="55">
      <pivotArea collapsedLevelsAreSubtotals="1" fieldPosition="0">
        <references count="1">
          <reference field="3" count="1" selected="0">
            <x v="0"/>
          </reference>
        </references>
      </pivotArea>
    </format>
    <format dxfId="56">
      <pivotArea collapsedLevelsAreSubtotals="1" fieldPosition="0">
        <references count="1">
          <reference field="3" count="1" selected="0">
            <x v="1"/>
          </reference>
        </references>
      </pivotArea>
    </format>
    <format dxfId="57">
      <pivotArea collapsedLevelsAreSubtotals="1" fieldPosition="0">
        <references count="1">
          <reference field="3" count="1" selected="0">
            <x v="2"/>
          </reference>
        </references>
      </pivotArea>
    </format>
    <format dxfId="58">
      <pivotArea collapsedLevelsAreSubtotals="1" fieldPosition="0">
        <references count="1">
          <reference field="3" count="1" selected="0">
            <x v="3"/>
          </reference>
        </references>
      </pivotArea>
    </format>
    <format dxfId="59">
      <pivotArea collapsedLevelsAreSubtotals="1" fieldPosition="0">
        <references count="1">
          <reference field="3" count="1" selected="0">
            <x v="4"/>
          </reference>
        </references>
      </pivotArea>
    </format>
    <format dxfId="60">
      <pivotArea collapsedLevelsAreSubtotals="1" fieldPosition="0">
        <references count="1">
          <reference field="3" count="1" selected="0">
            <x v="0"/>
          </reference>
        </references>
      </pivotArea>
    </format>
    <format dxfId="61">
      <pivotArea collapsedLevelsAreSubtotals="1" fieldPosition="0">
        <references count="1">
          <reference field="3" count="1" selected="0">
            <x v="1"/>
          </reference>
        </references>
      </pivotArea>
    </format>
    <format dxfId="62">
      <pivotArea collapsedLevelsAreSubtotals="1" fieldPosition="0">
        <references count="1">
          <reference field="3" count="1" selected="0">
            <x v="2"/>
          </reference>
        </references>
      </pivotArea>
    </format>
    <format dxfId="63">
      <pivotArea collapsedLevelsAreSubtotals="1" fieldPosition="0">
        <references count="1">
          <reference field="3" count="1" selected="0">
            <x v="3"/>
          </reference>
        </references>
      </pivotArea>
    </format>
    <format dxfId="64">
      <pivotArea collapsedLevelsAreSubtotals="1" fieldPosition="0">
        <references count="1">
          <reference field="3" count="1" selected="0">
            <x v="4"/>
          </reference>
        </references>
      </pivotArea>
    </format>
    <format dxfId="65">
      <pivotArea collapsedLevelsAreSubtotals="1" fieldPosition="0">
        <references count="1">
          <reference field="3" count="1" selected="0">
            <x v="0"/>
          </reference>
        </references>
      </pivotArea>
    </format>
    <format dxfId="66">
      <pivotArea collapsedLevelsAreSubtotals="1" fieldPosition="0">
        <references count="1">
          <reference field="3" count="1" selected="0">
            <x v="1"/>
          </reference>
        </references>
      </pivotArea>
    </format>
    <format dxfId="67">
      <pivotArea collapsedLevelsAreSubtotals="1" fieldPosition="0">
        <references count="1">
          <reference field="3" count="1" selected="0">
            <x v="2"/>
          </reference>
        </references>
      </pivotArea>
    </format>
    <format dxfId="68">
      <pivotArea collapsedLevelsAreSubtotals="1" fieldPosition="0">
        <references count="1">
          <reference field="3" count="1" selected="0">
            <x v="3"/>
          </reference>
        </references>
      </pivotArea>
    </format>
    <format dxfId="69">
      <pivotArea collapsedLevelsAreSubtotals="1" fieldPosition="0">
        <references count="1">
          <reference field="3" count="1" selected="0">
            <x v="4"/>
          </reference>
        </references>
      </pivotArea>
    </format>
    <format dxfId="70">
      <pivotArea collapsedLevelsAreSubtotals="1" fieldPosition="0">
        <references count="1">
          <reference field="3" count="1" selected="0">
            <x v="0"/>
          </reference>
        </references>
      </pivotArea>
    </format>
    <format dxfId="71">
      <pivotArea collapsedLevelsAreSubtotals="1" fieldPosition="0">
        <references count="1">
          <reference field="3" count="1" selected="0">
            <x v="1"/>
          </reference>
        </references>
      </pivotArea>
    </format>
    <format dxfId="72">
      <pivotArea collapsedLevelsAreSubtotals="1" fieldPosition="0">
        <references count="1">
          <reference field="3" count="1" selected="0">
            <x v="2"/>
          </reference>
        </references>
      </pivotArea>
    </format>
    <format dxfId="73">
      <pivotArea collapsedLevelsAreSubtotals="1" fieldPosition="0">
        <references count="1">
          <reference field="3" count="1" selected="0">
            <x v="3"/>
          </reference>
        </references>
      </pivotArea>
    </format>
    <format dxfId="74">
      <pivotArea collapsedLevelsAreSubtotals="1" fieldPosition="0">
        <references count="1">
          <reference field="3" count="1" selected="0">
            <x v="4"/>
          </reference>
        </references>
      </pivotArea>
    </format>
    <format dxfId="75">
      <pivotArea collapsedLevelsAreSubtotals="1" fieldPosition="0">
        <references count="1">
          <reference field="3" count="1" selected="0">
            <x v="0"/>
          </reference>
        </references>
      </pivotArea>
    </format>
    <format dxfId="76">
      <pivotArea collapsedLevelsAreSubtotals="1" fieldPosition="0">
        <references count="1">
          <reference field="3" count="1" selected="0">
            <x v="1"/>
          </reference>
        </references>
      </pivotArea>
    </format>
    <format dxfId="77">
      <pivotArea collapsedLevelsAreSubtotals="1" fieldPosition="0">
        <references count="1">
          <reference field="3" count="1" selected="0">
            <x v="2"/>
          </reference>
        </references>
      </pivotArea>
    </format>
    <format dxfId="78">
      <pivotArea collapsedLevelsAreSubtotals="1" fieldPosition="0">
        <references count="1">
          <reference field="3" count="1" selected="0">
            <x v="3"/>
          </reference>
        </references>
      </pivotArea>
    </format>
    <format dxfId="79">
      <pivotArea collapsedLevelsAreSubtotals="1" fieldPosition="0">
        <references count="1">
          <reference field="3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Salary by Departmen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dataField="1"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Average salary by departmen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40">
        <item x="26"/>
        <item x="5"/>
        <item x="22"/>
        <item x="6"/>
        <item x="10"/>
        <item x="38"/>
        <item x="27"/>
        <item x="9"/>
        <item x="28"/>
        <item x="30"/>
        <item x="19"/>
        <item x="8"/>
        <item x="13"/>
        <item x="35"/>
        <item x="31"/>
        <item x="3"/>
        <item x="36"/>
        <item x="4"/>
        <item x="14"/>
        <item x="15"/>
        <item x="33"/>
        <item x="0"/>
        <item x="20"/>
        <item x="12"/>
        <item x="16"/>
        <item x="7"/>
        <item x="29"/>
        <item x="24"/>
        <item x="25"/>
        <item x="34"/>
        <item x="21"/>
        <item x="37"/>
        <item x="17"/>
        <item x="1"/>
        <item x="11"/>
        <item x="32"/>
        <item x="18"/>
        <item x="2"/>
        <item x="23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dataField="1" compact="0" showAll="0">
      <items count="199">
        <item x="137"/>
        <item x="148"/>
        <item x="70"/>
        <item x="144"/>
        <item x="101"/>
        <item x="135"/>
        <item x="33"/>
        <item x="99"/>
        <item x="117"/>
        <item x="27"/>
        <item x="139"/>
        <item x="8"/>
        <item x="73"/>
        <item x="184"/>
        <item x="62"/>
        <item x="142"/>
        <item x="157"/>
        <item x="189"/>
        <item x="6"/>
        <item x="92"/>
        <item x="30"/>
        <item x="9"/>
        <item x="113"/>
        <item x="127"/>
        <item x="28"/>
        <item x="110"/>
        <item x="4"/>
        <item x="109"/>
        <item x="149"/>
        <item x="143"/>
        <item x="193"/>
        <item x="114"/>
        <item x="26"/>
        <item x="44"/>
        <item x="55"/>
        <item x="0"/>
        <item x="183"/>
        <item x="163"/>
        <item x="54"/>
        <item x="68"/>
        <item x="17"/>
        <item x="173"/>
        <item x="24"/>
        <item x="11"/>
        <item x="168"/>
        <item x="160"/>
        <item x="13"/>
        <item x="36"/>
        <item x="169"/>
        <item x="102"/>
        <item x="46"/>
        <item x="156"/>
        <item x="96"/>
        <item x="108"/>
        <item x="136"/>
        <item x="39"/>
        <item x="37"/>
        <item x="131"/>
        <item x="47"/>
        <item x="194"/>
        <item x="146"/>
        <item x="152"/>
        <item x="49"/>
        <item x="14"/>
        <item x="80"/>
        <item x="145"/>
        <item x="74"/>
        <item x="154"/>
        <item x="141"/>
        <item x="98"/>
        <item x="93"/>
        <item x="175"/>
        <item x="191"/>
        <item x="25"/>
        <item x="50"/>
        <item x="122"/>
        <item x="20"/>
        <item x="95"/>
        <item x="118"/>
        <item x="140"/>
        <item x="41"/>
        <item x="21"/>
        <item x="176"/>
        <item x="195"/>
        <item x="155"/>
        <item x="130"/>
        <item x="138"/>
        <item x="22"/>
        <item x="133"/>
        <item x="16"/>
        <item x="75"/>
        <item x="84"/>
        <item x="185"/>
        <item x="43"/>
        <item x="34"/>
        <item x="104"/>
        <item x="180"/>
        <item x="42"/>
        <item x="69"/>
        <item x="174"/>
        <item x="40"/>
        <item x="192"/>
        <item x="167"/>
        <item x="196"/>
        <item x="105"/>
        <item x="61"/>
        <item x="132"/>
        <item x="15"/>
        <item x="31"/>
        <item x="59"/>
        <item x="178"/>
        <item x="120"/>
        <item x="48"/>
        <item x="19"/>
        <item x="112"/>
        <item x="45"/>
        <item x="10"/>
        <item x="64"/>
        <item x="88"/>
        <item x="12"/>
        <item x="2"/>
        <item x="77"/>
        <item x="72"/>
        <item x="123"/>
        <item x="111"/>
        <item x="159"/>
        <item x="91"/>
        <item x="63"/>
        <item x="35"/>
        <item x="129"/>
        <item x="23"/>
        <item x="125"/>
        <item x="151"/>
        <item x="18"/>
        <item x="170"/>
        <item x="66"/>
        <item x="81"/>
        <item x="60"/>
        <item x="121"/>
        <item x="197"/>
        <item x="87"/>
        <item x="1"/>
        <item x="83"/>
        <item x="134"/>
        <item x="177"/>
        <item x="158"/>
        <item x="181"/>
        <item x="57"/>
        <item x="150"/>
        <item x="188"/>
        <item x="100"/>
        <item x="187"/>
        <item x="67"/>
        <item x="171"/>
        <item x="78"/>
        <item x="97"/>
        <item x="124"/>
        <item x="51"/>
        <item x="7"/>
        <item x="107"/>
        <item x="32"/>
        <item x="5"/>
        <item x="179"/>
        <item x="115"/>
        <item x="86"/>
        <item x="53"/>
        <item x="164"/>
        <item x="79"/>
        <item x="162"/>
        <item x="58"/>
        <item x="161"/>
        <item x="119"/>
        <item x="3"/>
        <item x="89"/>
        <item x="126"/>
        <item x="85"/>
        <item x="172"/>
        <item x="65"/>
        <item x="76"/>
        <item x="128"/>
        <item x="71"/>
        <item x="153"/>
        <item x="182"/>
        <item x="94"/>
        <item x="186"/>
        <item x="103"/>
        <item x="106"/>
        <item x="29"/>
        <item x="90"/>
        <item x="82"/>
        <item x="147"/>
        <item x="52"/>
        <item x="166"/>
        <item x="56"/>
        <item x="165"/>
        <item x="116"/>
        <item x="38"/>
        <item x="190"/>
        <item t="default"/>
      </items>
    </pivotField>
    <pivotField compact="0" showAll="0">
      <items count="22">
        <item x="8"/>
        <item x="12"/>
        <item x="4"/>
        <item x="13"/>
        <item x="15"/>
        <item x="0"/>
        <item x="1"/>
        <item x="2"/>
        <item x="19"/>
        <item x="20"/>
        <item x="3"/>
        <item x="14"/>
        <item x="7"/>
        <item x="10"/>
        <item x="17"/>
        <item x="11"/>
        <item x="18"/>
        <item x="16"/>
        <item x="6"/>
        <item x="5"/>
        <item x="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5" subtotal="average" baseField="0" baseItem="0"/>
  </dataFields>
  <formats count="4"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mployeeID" sourceName="EmployeeID">
  <pivotTables>
    <pivotTable tabId="2" name="count of Attrition"/>
  </pivotTables>
  <data>
    <tabular pivotCacheId="1">
      <items count="2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ttrition2" sourceName="Attrition">
  <pivotTables>
    <pivotTable tabId="7" name="Average Salary"/>
    <pivotTable tabId="3" name="sum of employee ID"/>
    <pivotTable tabId="2" name="count of Attrition"/>
    <pivotTable tabId="4" name="Average (Salary,Years )"/>
    <pivotTable tabId="5" name="cout of employee"/>
    <pivotTable tabId="6" name="Depatment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4" sourceName="Department">
  <pivotTables>
    <pivotTable tabId="10" name="Average salary by department"/>
    <pivotTable tabId="9" name="Salary by Department"/>
    <pivotTable tabId="8" name="Average Job Satisfaction"/>
    <pivotTable tabId="6" name="Depatment"/>
    <pivotTable tabId="5" name="cout of employee"/>
    <pivotTable tabId="2" name="count of Attrition"/>
    <pivotTable tabId="3" name="sum of employee ID"/>
    <pivotTable tabId="4" name="Average (Salary,Years )"/>
    <pivotTable tabId="7" name="Average Salary"/>
  </pivotTables>
  <data>
    <tabular pivotCacheId="1">
      <items count="5">
        <i x="1" s="1"/>
        <i x="3" s="1"/>
        <i x="0" s="1"/>
        <i x="2" s="1"/>
        <i x="4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5" sourceName="Gender">
  <pivotTables>
    <pivotTable tabId="2" name="count of Attrition"/>
    <pivotTable tabId="3" name="sum of employee ID"/>
    <pivotTable tabId="4" name="Average (Salary,Years )"/>
    <pivotTable tabId="5" name="cout of employee"/>
    <pivotTable tabId="6" name="Depatment"/>
    <pivotTable tabId="7" name="Average Salary"/>
    <pivotTable tabId="8" name="Average Job Satisfaction"/>
    <pivotTable tabId="9" name="Salary by Department"/>
    <pivotTable tabId="10" name="Average salary by department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mployeeID" cache="Slicer_EmployeeID" caption="EmployeeID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ttrition" cache="Slicer_Attrition2" caption="Attrition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5" caption="Gender" rowHeight="225425"/>
  <slicer name="Department" cache="Slicer_Department4" caption="Department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4" caption="Department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2" cache="Slicer_Department4" caption="Department" rowHeight="225425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ttrition 3" cache="Slicer_Attrition2" caption="Attrition" rowHeight="225425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4" cache="Slicer_Department4" caption="Department" rowHeight="225425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5" cache="Slicer_Department4" caption="Department" rowHeight="225425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6" cache="Slicer_Department4" caption="Department" rowHeight="225425"/>
</slicers>
</file>

<file path=xl/slicers/slicer10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7" cache="Slicer_Gender5" caption="Gender" rowHeight="225425"/>
  <slicer name="Department 8" cache="Slicer_Department4" caption="Department" rowHeight="225425"/>
</slicers>
</file>

<file path=xl/tables/table1.xml><?xml version="1.0" encoding="utf-8"?>
<table xmlns="http://schemas.openxmlformats.org/spreadsheetml/2006/main" id="1" name="HR_data" displayName="HR_data" ref="A1:I201" totalsRowShown="0">
  <autoFilter xmlns:etc="http://www.wps.cn/officeDocument/2017/etCustomData" ref="A1:I201" etc:filterBottomFollowUsedRange="0"/>
  <tableColumns count="9">
    <tableColumn id="1" name="EmployeeID" dataDxfId="84"/>
    <tableColumn id="2" name="Age" dataDxfId="85"/>
    <tableColumn id="3" name="Gender" dataDxfId="86"/>
    <tableColumn id="4" name="Department" dataDxfId="87"/>
    <tableColumn id="5" name="JobRole" dataDxfId="88"/>
    <tableColumn id="6" name="Salary" dataDxfId="89"/>
    <tableColumn id="7" name="YearsAtCompany" dataDxfId="90"/>
    <tableColumn id="8" name="Attrition" dataDxfId="91"/>
    <tableColumn id="9" name="JobSatisfaction" dataDxfId="92"/>
  </tableColumns>
  <tableStyleInfo name="TableStylePreset1_Accen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9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10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2" sqref="$A1:$XFD1048576"/>
    </sheetView>
  </sheetViews>
  <sheetFormatPr defaultColWidth="9" defaultRowHeight="15"/>
  <cols>
    <col min="1" max="1" width="17.7142857142857" customWidth="1"/>
    <col min="2" max="2" width="6.71428571428571" customWidth="1"/>
    <col min="3" max="3" width="11.1428571428571" customWidth="1"/>
    <col min="4" max="4" width="17.7142857142857" customWidth="1"/>
    <col min="5" max="5" width="15.7142857142857" customWidth="1"/>
    <col min="6" max="6" width="9.28571428571429" customWidth="1"/>
    <col min="7" max="7" width="24.5714285714286" customWidth="1"/>
    <col min="8" max="8" width="12.5714285714286" customWidth="1"/>
    <col min="9" max="9" width="21.5714285714286" customWidth="1"/>
  </cols>
  <sheetData>
    <row r="1" ht="2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ht="18.75" spans="1:9">
      <c r="A2" s="16">
        <v>1</v>
      </c>
      <c r="B2" s="16">
        <v>43</v>
      </c>
      <c r="C2" s="17" t="s">
        <v>9</v>
      </c>
      <c r="D2" s="17" t="s">
        <v>10</v>
      </c>
      <c r="E2" s="17" t="s">
        <v>11</v>
      </c>
      <c r="F2" s="16">
        <v>5464</v>
      </c>
      <c r="G2" s="16">
        <v>5</v>
      </c>
      <c r="H2" s="17" t="s">
        <v>12</v>
      </c>
      <c r="I2" s="16">
        <v>1</v>
      </c>
    </row>
    <row r="3" ht="18.75" spans="1:9">
      <c r="A3" s="16">
        <v>2</v>
      </c>
      <c r="B3" s="16">
        <v>55</v>
      </c>
      <c r="C3" s="17" t="s">
        <v>13</v>
      </c>
      <c r="D3" s="17" t="s">
        <v>14</v>
      </c>
      <c r="E3" s="17" t="s">
        <v>11</v>
      </c>
      <c r="F3" s="16">
        <v>14840</v>
      </c>
      <c r="G3" s="16">
        <v>6</v>
      </c>
      <c r="H3" s="17" t="s">
        <v>12</v>
      </c>
      <c r="I3" s="16">
        <v>2</v>
      </c>
    </row>
    <row r="4" ht="18.75" spans="1:9">
      <c r="A4" s="16">
        <v>3</v>
      </c>
      <c r="B4" s="16">
        <v>59</v>
      </c>
      <c r="C4" s="17" t="s">
        <v>9</v>
      </c>
      <c r="D4" s="17" t="s">
        <v>10</v>
      </c>
      <c r="E4" s="17" t="s">
        <v>15</v>
      </c>
      <c r="F4" s="16">
        <v>12982</v>
      </c>
      <c r="G4" s="16">
        <v>7</v>
      </c>
      <c r="H4" s="17" t="s">
        <v>16</v>
      </c>
      <c r="I4" s="16">
        <v>2</v>
      </c>
    </row>
    <row r="5" ht="18.75" spans="1:9">
      <c r="A5" s="16">
        <v>4</v>
      </c>
      <c r="B5" s="16">
        <v>37</v>
      </c>
      <c r="C5" s="17" t="s">
        <v>9</v>
      </c>
      <c r="D5" s="17" t="s">
        <v>14</v>
      </c>
      <c r="E5" s="17" t="s">
        <v>15</v>
      </c>
      <c r="F5" s="16">
        <v>17788</v>
      </c>
      <c r="G5" s="16">
        <v>10</v>
      </c>
      <c r="H5" s="17" t="s">
        <v>12</v>
      </c>
      <c r="I5" s="16">
        <v>3</v>
      </c>
    </row>
    <row r="6" ht="18.75" spans="1:9">
      <c r="A6" s="16">
        <v>5</v>
      </c>
      <c r="B6" s="16">
        <v>39</v>
      </c>
      <c r="C6" s="17" t="s">
        <v>9</v>
      </c>
      <c r="D6" s="17" t="s">
        <v>17</v>
      </c>
      <c r="E6" s="17" t="s">
        <v>11</v>
      </c>
      <c r="F6" s="16">
        <v>4875</v>
      </c>
      <c r="G6" s="16">
        <v>2</v>
      </c>
      <c r="H6" s="17" t="s">
        <v>12</v>
      </c>
      <c r="I6" s="16">
        <v>3</v>
      </c>
    </row>
    <row r="7" ht="18.75" spans="1:9">
      <c r="A7" s="16">
        <v>6</v>
      </c>
      <c r="B7" s="16">
        <v>55</v>
      </c>
      <c r="C7" s="17" t="s">
        <v>9</v>
      </c>
      <c r="D7" s="17" t="s">
        <v>17</v>
      </c>
      <c r="E7" s="17" t="s">
        <v>18</v>
      </c>
      <c r="F7" s="16">
        <v>17146</v>
      </c>
      <c r="G7" s="16">
        <v>19</v>
      </c>
      <c r="H7" s="17" t="s">
        <v>12</v>
      </c>
      <c r="I7" s="16">
        <v>3</v>
      </c>
    </row>
    <row r="8" ht="18.75" spans="1:9">
      <c r="A8" s="16">
        <v>7</v>
      </c>
      <c r="B8" s="16">
        <v>23</v>
      </c>
      <c r="C8" s="17" t="s">
        <v>13</v>
      </c>
      <c r="D8" s="17" t="s">
        <v>14</v>
      </c>
      <c r="E8" s="17" t="s">
        <v>19</v>
      </c>
      <c r="F8" s="16">
        <v>4501</v>
      </c>
      <c r="G8" s="16">
        <v>18</v>
      </c>
      <c r="H8" s="17" t="s">
        <v>16</v>
      </c>
      <c r="I8" s="16">
        <v>2</v>
      </c>
    </row>
    <row r="9" ht="18.75" spans="1:9">
      <c r="A9" s="16">
        <v>8</v>
      </c>
      <c r="B9" s="16">
        <v>25</v>
      </c>
      <c r="C9" s="17" t="s">
        <v>9</v>
      </c>
      <c r="D9" s="17" t="s">
        <v>20</v>
      </c>
      <c r="E9" s="17" t="s">
        <v>15</v>
      </c>
      <c r="F9" s="16">
        <v>17033</v>
      </c>
      <c r="G9" s="16">
        <v>10</v>
      </c>
      <c r="H9" s="17" t="s">
        <v>12</v>
      </c>
      <c r="I9" s="16">
        <v>3</v>
      </c>
    </row>
    <row r="10" ht="18.75" spans="1:9">
      <c r="A10" s="16">
        <v>9</v>
      </c>
      <c r="B10" s="16">
        <v>47</v>
      </c>
      <c r="C10" s="17" t="s">
        <v>9</v>
      </c>
      <c r="D10" s="17" t="s">
        <v>20</v>
      </c>
      <c r="E10" s="17" t="s">
        <v>18</v>
      </c>
      <c r="F10" s="16">
        <v>3971</v>
      </c>
      <c r="G10" s="16">
        <v>12</v>
      </c>
      <c r="H10" s="17" t="s">
        <v>12</v>
      </c>
      <c r="I10" s="16">
        <v>3</v>
      </c>
    </row>
    <row r="11" ht="18.75" spans="1:9">
      <c r="A11" s="16">
        <v>10</v>
      </c>
      <c r="B11" s="16">
        <v>33</v>
      </c>
      <c r="C11" s="17" t="s">
        <v>13</v>
      </c>
      <c r="D11" s="17" t="s">
        <v>14</v>
      </c>
      <c r="E11" s="17" t="s">
        <v>19</v>
      </c>
      <c r="F11" s="16">
        <v>4705</v>
      </c>
      <c r="G11" s="16">
        <v>0</v>
      </c>
      <c r="H11" s="17" t="s">
        <v>12</v>
      </c>
      <c r="I11" s="16">
        <v>2</v>
      </c>
    </row>
    <row r="12" ht="18.75" spans="1:9">
      <c r="A12" s="16">
        <v>11</v>
      </c>
      <c r="B12" s="16">
        <v>29</v>
      </c>
      <c r="C12" s="17" t="s">
        <v>9</v>
      </c>
      <c r="D12" s="17" t="s">
        <v>17</v>
      </c>
      <c r="E12" s="17" t="s">
        <v>15</v>
      </c>
      <c r="F12" s="16">
        <v>12844</v>
      </c>
      <c r="G12" s="16">
        <v>20</v>
      </c>
      <c r="H12" s="17" t="s">
        <v>16</v>
      </c>
      <c r="I12" s="16">
        <v>5</v>
      </c>
    </row>
    <row r="13" ht="18.75" spans="1:9">
      <c r="A13" s="16">
        <v>12</v>
      </c>
      <c r="B13" s="16">
        <v>26</v>
      </c>
      <c r="C13" s="17" t="s">
        <v>9</v>
      </c>
      <c r="D13" s="17" t="s">
        <v>20</v>
      </c>
      <c r="E13" s="17" t="s">
        <v>21</v>
      </c>
      <c r="F13" s="16">
        <v>6154</v>
      </c>
      <c r="G13" s="16">
        <v>19</v>
      </c>
      <c r="H13" s="17" t="s">
        <v>12</v>
      </c>
      <c r="I13" s="16">
        <v>5</v>
      </c>
    </row>
    <row r="14" ht="18.75" spans="1:9">
      <c r="A14" s="16">
        <v>13</v>
      </c>
      <c r="B14" s="16">
        <v>56</v>
      </c>
      <c r="C14" s="17" t="s">
        <v>13</v>
      </c>
      <c r="D14" s="17" t="s">
        <v>10</v>
      </c>
      <c r="E14" s="17" t="s">
        <v>11</v>
      </c>
      <c r="F14" s="16">
        <v>12979</v>
      </c>
      <c r="G14" s="16">
        <v>18</v>
      </c>
      <c r="H14" s="17" t="s">
        <v>16</v>
      </c>
      <c r="I14" s="16">
        <v>3</v>
      </c>
    </row>
    <row r="15" ht="18.75" spans="1:9">
      <c r="A15" s="16">
        <v>14</v>
      </c>
      <c r="B15" s="16">
        <v>45</v>
      </c>
      <c r="C15" s="17" t="s">
        <v>9</v>
      </c>
      <c r="D15" s="17" t="s">
        <v>14</v>
      </c>
      <c r="E15" s="17" t="s">
        <v>19</v>
      </c>
      <c r="F15" s="16">
        <v>6667</v>
      </c>
      <c r="G15" s="16">
        <v>5</v>
      </c>
      <c r="H15" s="17" t="s">
        <v>16</v>
      </c>
      <c r="I15" s="16">
        <v>3</v>
      </c>
    </row>
    <row r="16" ht="18.75" spans="1:9">
      <c r="A16" s="16">
        <v>15</v>
      </c>
      <c r="B16" s="16">
        <v>34</v>
      </c>
      <c r="C16" s="17" t="s">
        <v>9</v>
      </c>
      <c r="D16" s="17" t="s">
        <v>14</v>
      </c>
      <c r="E16" s="17" t="s">
        <v>15</v>
      </c>
      <c r="F16" s="16">
        <v>8249</v>
      </c>
      <c r="G16" s="16">
        <v>13</v>
      </c>
      <c r="H16" s="17" t="s">
        <v>12</v>
      </c>
      <c r="I16" s="16">
        <v>5</v>
      </c>
    </row>
    <row r="17" ht="18.75" spans="1:9">
      <c r="A17" s="16">
        <v>16</v>
      </c>
      <c r="B17" s="16">
        <v>40</v>
      </c>
      <c r="C17" s="17" t="s">
        <v>9</v>
      </c>
      <c r="D17" s="17" t="s">
        <v>14</v>
      </c>
      <c r="E17" s="17" t="s">
        <v>19</v>
      </c>
      <c r="F17" s="16">
        <v>12036</v>
      </c>
      <c r="G17" s="16">
        <v>15</v>
      </c>
      <c r="H17" s="17" t="s">
        <v>12</v>
      </c>
      <c r="I17" s="16">
        <v>3</v>
      </c>
    </row>
    <row r="18" ht="18.75" spans="1:9">
      <c r="A18" s="16">
        <v>17</v>
      </c>
      <c r="B18" s="16">
        <v>45</v>
      </c>
      <c r="C18" s="17" t="s">
        <v>9</v>
      </c>
      <c r="D18" s="17" t="s">
        <v>10</v>
      </c>
      <c r="E18" s="17" t="s">
        <v>15</v>
      </c>
      <c r="F18" s="16">
        <v>10374</v>
      </c>
      <c r="G18" s="16">
        <v>6</v>
      </c>
      <c r="H18" s="17" t="s">
        <v>12</v>
      </c>
      <c r="I18" s="16">
        <v>5</v>
      </c>
    </row>
    <row r="19" ht="18.75" spans="1:9">
      <c r="A19" s="16">
        <v>18</v>
      </c>
      <c r="B19" s="16">
        <v>41</v>
      </c>
      <c r="C19" s="17" t="s">
        <v>9</v>
      </c>
      <c r="D19" s="17" t="s">
        <v>17</v>
      </c>
      <c r="E19" s="17" t="s">
        <v>19</v>
      </c>
      <c r="F19" s="16">
        <v>5951</v>
      </c>
      <c r="G19" s="16">
        <v>18</v>
      </c>
      <c r="H19" s="17" t="s">
        <v>16</v>
      </c>
      <c r="I19" s="16">
        <v>4</v>
      </c>
    </row>
    <row r="20" ht="18.75" spans="1:9">
      <c r="A20" s="16">
        <v>19</v>
      </c>
      <c r="B20" s="16">
        <v>46</v>
      </c>
      <c r="C20" s="17" t="s">
        <v>13</v>
      </c>
      <c r="D20" s="17" t="s">
        <v>17</v>
      </c>
      <c r="E20" s="17" t="s">
        <v>19</v>
      </c>
      <c r="F20" s="16">
        <v>13943</v>
      </c>
      <c r="G20" s="16">
        <v>20</v>
      </c>
      <c r="H20" s="17" t="s">
        <v>12</v>
      </c>
      <c r="I20" s="16">
        <v>4</v>
      </c>
    </row>
    <row r="21" ht="18.75" spans="1:9">
      <c r="A21" s="16">
        <v>20</v>
      </c>
      <c r="B21" s="16">
        <v>54</v>
      </c>
      <c r="C21" s="17" t="s">
        <v>13</v>
      </c>
      <c r="D21" s="17" t="s">
        <v>22</v>
      </c>
      <c r="E21" s="17" t="s">
        <v>15</v>
      </c>
      <c r="F21" s="16">
        <v>12560</v>
      </c>
      <c r="G21" s="16">
        <v>1</v>
      </c>
      <c r="H21" s="17" t="s">
        <v>12</v>
      </c>
      <c r="I21" s="16">
        <v>1</v>
      </c>
    </row>
    <row r="22" ht="18.75" spans="1:9">
      <c r="A22" s="16">
        <v>21</v>
      </c>
      <c r="B22" s="16">
        <v>58</v>
      </c>
      <c r="C22" s="17" t="s">
        <v>13</v>
      </c>
      <c r="D22" s="17" t="s">
        <v>10</v>
      </c>
      <c r="E22" s="17" t="s">
        <v>11</v>
      </c>
      <c r="F22" s="16">
        <v>9271</v>
      </c>
      <c r="G22" s="16">
        <v>15</v>
      </c>
      <c r="H22" s="17" t="s">
        <v>12</v>
      </c>
      <c r="I22" s="16">
        <v>2</v>
      </c>
    </row>
    <row r="23" ht="18.75" spans="1:9">
      <c r="A23" s="16">
        <v>22</v>
      </c>
      <c r="B23" s="16">
        <v>32</v>
      </c>
      <c r="C23" s="17" t="s">
        <v>13</v>
      </c>
      <c r="D23" s="17" t="s">
        <v>14</v>
      </c>
      <c r="E23" s="17" t="s">
        <v>19</v>
      </c>
      <c r="F23" s="16">
        <v>9652</v>
      </c>
      <c r="G23" s="16">
        <v>13</v>
      </c>
      <c r="H23" s="17" t="s">
        <v>12</v>
      </c>
      <c r="I23" s="16">
        <v>2</v>
      </c>
    </row>
    <row r="24" ht="18.75" spans="1:9">
      <c r="A24" s="16">
        <v>23</v>
      </c>
      <c r="B24" s="16">
        <v>37</v>
      </c>
      <c r="C24" s="17" t="s">
        <v>9</v>
      </c>
      <c r="D24" s="17" t="s">
        <v>17</v>
      </c>
      <c r="E24" s="17" t="s">
        <v>11</v>
      </c>
      <c r="F24" s="16">
        <v>10096</v>
      </c>
      <c r="G24" s="16">
        <v>3</v>
      </c>
      <c r="H24" s="17" t="s">
        <v>16</v>
      </c>
      <c r="I24" s="16">
        <v>5</v>
      </c>
    </row>
    <row r="25" ht="18.75" spans="1:9">
      <c r="A25" s="16">
        <v>24</v>
      </c>
      <c r="B25" s="16">
        <v>56</v>
      </c>
      <c r="C25" s="17" t="s">
        <v>9</v>
      </c>
      <c r="D25" s="17" t="s">
        <v>22</v>
      </c>
      <c r="E25" s="17" t="s">
        <v>18</v>
      </c>
      <c r="F25" s="16">
        <v>13737</v>
      </c>
      <c r="G25" s="16">
        <v>18</v>
      </c>
      <c r="H25" s="17" t="s">
        <v>12</v>
      </c>
      <c r="I25" s="16">
        <v>4</v>
      </c>
    </row>
    <row r="26" ht="18.75" spans="1:9">
      <c r="A26" s="16">
        <v>25</v>
      </c>
      <c r="B26" s="16">
        <v>47</v>
      </c>
      <c r="C26" s="17" t="s">
        <v>9</v>
      </c>
      <c r="D26" s="17" t="s">
        <v>10</v>
      </c>
      <c r="E26" s="17" t="s">
        <v>11</v>
      </c>
      <c r="F26" s="16">
        <v>6090</v>
      </c>
      <c r="G26" s="16">
        <v>11</v>
      </c>
      <c r="H26" s="17" t="s">
        <v>12</v>
      </c>
      <c r="I26" s="16">
        <v>4</v>
      </c>
    </row>
    <row r="27" ht="18.75" spans="1:9">
      <c r="A27" s="16">
        <v>26</v>
      </c>
      <c r="B27" s="16">
        <v>44</v>
      </c>
      <c r="C27" s="17" t="s">
        <v>13</v>
      </c>
      <c r="D27" s="17" t="s">
        <v>10</v>
      </c>
      <c r="E27" s="17" t="s">
        <v>18</v>
      </c>
      <c r="F27" s="16">
        <v>9004</v>
      </c>
      <c r="G27" s="16">
        <v>4</v>
      </c>
      <c r="H27" s="17" t="s">
        <v>12</v>
      </c>
      <c r="I27" s="16">
        <v>2</v>
      </c>
    </row>
    <row r="28" ht="18.75" spans="1:9">
      <c r="A28" s="16">
        <v>27</v>
      </c>
      <c r="B28" s="16">
        <v>41</v>
      </c>
      <c r="C28" s="17" t="s">
        <v>9</v>
      </c>
      <c r="D28" s="17" t="s">
        <v>20</v>
      </c>
      <c r="E28" s="17" t="s">
        <v>11</v>
      </c>
      <c r="F28" s="16">
        <v>5335</v>
      </c>
      <c r="G28" s="16">
        <v>17</v>
      </c>
      <c r="H28" s="17" t="s">
        <v>12</v>
      </c>
      <c r="I28" s="16">
        <v>1</v>
      </c>
    </row>
    <row r="29" ht="18.75" spans="1:9">
      <c r="A29" s="16">
        <v>28</v>
      </c>
      <c r="B29" s="16">
        <v>58</v>
      </c>
      <c r="C29" s="17" t="s">
        <v>9</v>
      </c>
      <c r="D29" s="17" t="s">
        <v>20</v>
      </c>
      <c r="E29" s="17" t="s">
        <v>18</v>
      </c>
      <c r="F29" s="16">
        <v>3868</v>
      </c>
      <c r="G29" s="16">
        <v>11</v>
      </c>
      <c r="H29" s="17" t="s">
        <v>16</v>
      </c>
      <c r="I29" s="16">
        <v>4</v>
      </c>
    </row>
    <row r="30" ht="18.75" spans="1:9">
      <c r="A30" s="16">
        <v>29</v>
      </c>
      <c r="B30" s="16">
        <v>52</v>
      </c>
      <c r="C30" s="17" t="s">
        <v>13</v>
      </c>
      <c r="D30" s="17" t="s">
        <v>10</v>
      </c>
      <c r="E30" s="17" t="s">
        <v>21</v>
      </c>
      <c r="F30" s="16">
        <v>4777</v>
      </c>
      <c r="G30" s="16">
        <v>4</v>
      </c>
      <c r="H30" s="17" t="s">
        <v>16</v>
      </c>
      <c r="I30" s="16">
        <v>1</v>
      </c>
    </row>
    <row r="31" ht="18.75" spans="1:9">
      <c r="A31" s="16">
        <v>30</v>
      </c>
      <c r="B31" s="16">
        <v>26</v>
      </c>
      <c r="C31" s="17" t="s">
        <v>13</v>
      </c>
      <c r="D31" s="17" t="s">
        <v>14</v>
      </c>
      <c r="E31" s="17" t="s">
        <v>18</v>
      </c>
      <c r="F31" s="16">
        <v>19109</v>
      </c>
      <c r="G31" s="16">
        <v>14</v>
      </c>
      <c r="H31" s="17" t="s">
        <v>12</v>
      </c>
      <c r="I31" s="16">
        <v>4</v>
      </c>
    </row>
    <row r="32" ht="18.75" spans="1:9">
      <c r="A32" s="16">
        <v>31</v>
      </c>
      <c r="B32" s="16">
        <v>56</v>
      </c>
      <c r="C32" s="17" t="s">
        <v>13</v>
      </c>
      <c r="D32" s="17" t="s">
        <v>17</v>
      </c>
      <c r="E32" s="17" t="s">
        <v>11</v>
      </c>
      <c r="F32" s="16">
        <v>4545</v>
      </c>
      <c r="G32" s="16">
        <v>14</v>
      </c>
      <c r="H32" s="17" t="s">
        <v>12</v>
      </c>
      <c r="I32" s="16">
        <v>1</v>
      </c>
    </row>
    <row r="33" ht="18.75" spans="1:9">
      <c r="A33" s="16">
        <v>32</v>
      </c>
      <c r="B33" s="16">
        <v>24</v>
      </c>
      <c r="C33" s="17" t="s">
        <v>9</v>
      </c>
      <c r="D33" s="17" t="s">
        <v>17</v>
      </c>
      <c r="E33" s="17" t="s">
        <v>19</v>
      </c>
      <c r="F33" s="16">
        <v>12128</v>
      </c>
      <c r="G33" s="16">
        <v>16</v>
      </c>
      <c r="H33" s="17" t="s">
        <v>16</v>
      </c>
      <c r="I33" s="16">
        <v>3</v>
      </c>
    </row>
    <row r="34" ht="18.75" spans="1:9">
      <c r="A34" s="16">
        <v>33</v>
      </c>
      <c r="B34" s="16">
        <v>58</v>
      </c>
      <c r="C34" s="17" t="s">
        <v>13</v>
      </c>
      <c r="D34" s="17" t="s">
        <v>20</v>
      </c>
      <c r="E34" s="17" t="s">
        <v>21</v>
      </c>
      <c r="F34" s="16">
        <v>17130</v>
      </c>
      <c r="G34" s="16">
        <v>5</v>
      </c>
      <c r="H34" s="17" t="s">
        <v>16</v>
      </c>
      <c r="I34" s="16">
        <v>4</v>
      </c>
    </row>
    <row r="35" ht="18.75" spans="1:9">
      <c r="A35" s="16">
        <v>34</v>
      </c>
      <c r="B35" s="16">
        <v>60</v>
      </c>
      <c r="C35" s="17" t="s">
        <v>13</v>
      </c>
      <c r="D35" s="17" t="s">
        <v>14</v>
      </c>
      <c r="E35" s="17" t="s">
        <v>18</v>
      </c>
      <c r="F35" s="16">
        <v>3655</v>
      </c>
      <c r="G35" s="16">
        <v>17</v>
      </c>
      <c r="H35" s="17" t="s">
        <v>16</v>
      </c>
      <c r="I35" s="16">
        <v>3</v>
      </c>
    </row>
    <row r="36" ht="18.75" spans="1:9">
      <c r="A36" s="16">
        <v>35</v>
      </c>
      <c r="B36" s="16">
        <v>58</v>
      </c>
      <c r="C36" s="17" t="s">
        <v>9</v>
      </c>
      <c r="D36" s="17" t="s">
        <v>14</v>
      </c>
      <c r="E36" s="17" t="s">
        <v>19</v>
      </c>
      <c r="F36" s="16">
        <v>10815</v>
      </c>
      <c r="G36" s="16">
        <v>8</v>
      </c>
      <c r="H36" s="17" t="s">
        <v>16</v>
      </c>
      <c r="I36" s="16">
        <v>5</v>
      </c>
    </row>
    <row r="37" ht="18.75" spans="1:9">
      <c r="A37" s="16">
        <v>36</v>
      </c>
      <c r="B37" s="16">
        <v>49</v>
      </c>
      <c r="C37" s="17" t="s">
        <v>9</v>
      </c>
      <c r="D37" s="17" t="s">
        <v>22</v>
      </c>
      <c r="E37" s="17" t="s">
        <v>15</v>
      </c>
      <c r="F37" s="16">
        <v>13653</v>
      </c>
      <c r="G37" s="16">
        <v>0</v>
      </c>
      <c r="H37" s="17" t="s">
        <v>12</v>
      </c>
      <c r="I37" s="16">
        <v>2</v>
      </c>
    </row>
    <row r="38" ht="18.75" spans="1:9">
      <c r="A38" s="16">
        <v>37</v>
      </c>
      <c r="B38" s="16">
        <v>50</v>
      </c>
      <c r="C38" s="17" t="s">
        <v>13</v>
      </c>
      <c r="D38" s="17" t="s">
        <v>10</v>
      </c>
      <c r="E38" s="17" t="s">
        <v>18</v>
      </c>
      <c r="F38" s="16">
        <v>6774</v>
      </c>
      <c r="G38" s="16">
        <v>19</v>
      </c>
      <c r="H38" s="17" t="s">
        <v>12</v>
      </c>
      <c r="I38" s="16">
        <v>4</v>
      </c>
    </row>
    <row r="39" ht="18.75" spans="1:9">
      <c r="A39" s="16">
        <v>38</v>
      </c>
      <c r="B39" s="16">
        <v>22</v>
      </c>
      <c r="C39" s="17" t="s">
        <v>9</v>
      </c>
      <c r="D39" s="17" t="s">
        <v>14</v>
      </c>
      <c r="E39" s="17" t="s">
        <v>21</v>
      </c>
      <c r="F39" s="16">
        <v>7724</v>
      </c>
      <c r="G39" s="16">
        <v>12</v>
      </c>
      <c r="H39" s="17" t="s">
        <v>12</v>
      </c>
      <c r="I39" s="16">
        <v>3</v>
      </c>
    </row>
    <row r="40" ht="18.75" spans="1:9">
      <c r="A40" s="16">
        <v>39</v>
      </c>
      <c r="B40" s="16">
        <v>34</v>
      </c>
      <c r="C40" s="17" t="s">
        <v>13</v>
      </c>
      <c r="D40" s="17" t="s">
        <v>14</v>
      </c>
      <c r="E40" s="17" t="s">
        <v>18</v>
      </c>
      <c r="F40" s="16">
        <v>19478</v>
      </c>
      <c r="G40" s="16">
        <v>20</v>
      </c>
      <c r="H40" s="17" t="s">
        <v>12</v>
      </c>
      <c r="I40" s="16">
        <v>5</v>
      </c>
    </row>
    <row r="41" ht="18.75" spans="1:9">
      <c r="A41" s="16">
        <v>40</v>
      </c>
      <c r="B41" s="16">
        <v>55</v>
      </c>
      <c r="C41" s="17" t="s">
        <v>13</v>
      </c>
      <c r="D41" s="17" t="s">
        <v>22</v>
      </c>
      <c r="E41" s="17" t="s">
        <v>19</v>
      </c>
      <c r="F41" s="16">
        <v>7654</v>
      </c>
      <c r="G41" s="16">
        <v>15</v>
      </c>
      <c r="H41" s="17" t="s">
        <v>12</v>
      </c>
      <c r="I41" s="16">
        <v>3</v>
      </c>
    </row>
    <row r="42" ht="18.75" spans="1:9">
      <c r="A42" s="16">
        <v>41</v>
      </c>
      <c r="B42" s="16">
        <v>28</v>
      </c>
      <c r="C42" s="17" t="s">
        <v>13</v>
      </c>
      <c r="D42" s="17" t="s">
        <v>14</v>
      </c>
      <c r="E42" s="17" t="s">
        <v>18</v>
      </c>
      <c r="F42" s="16">
        <v>11333</v>
      </c>
      <c r="G42" s="16">
        <v>1</v>
      </c>
      <c r="H42" s="17" t="s">
        <v>12</v>
      </c>
      <c r="I42" s="16">
        <v>3</v>
      </c>
    </row>
    <row r="43" ht="18.75" spans="1:9">
      <c r="A43" s="16">
        <v>42</v>
      </c>
      <c r="B43" s="16">
        <v>41</v>
      </c>
      <c r="C43" s="17" t="s">
        <v>13</v>
      </c>
      <c r="D43" s="17" t="s">
        <v>17</v>
      </c>
      <c r="E43" s="17" t="s">
        <v>11</v>
      </c>
      <c r="F43" s="16">
        <v>9493</v>
      </c>
      <c r="G43" s="16">
        <v>20</v>
      </c>
      <c r="H43" s="17" t="s">
        <v>12</v>
      </c>
      <c r="I43" s="16">
        <v>4</v>
      </c>
    </row>
    <row r="44" ht="18.75" spans="1:9">
      <c r="A44" s="16">
        <v>43</v>
      </c>
      <c r="B44" s="16">
        <v>59</v>
      </c>
      <c r="C44" s="17" t="s">
        <v>13</v>
      </c>
      <c r="D44" s="17" t="s">
        <v>22</v>
      </c>
      <c r="E44" s="17" t="s">
        <v>18</v>
      </c>
      <c r="F44" s="16">
        <v>10874</v>
      </c>
      <c r="G44" s="16">
        <v>18</v>
      </c>
      <c r="H44" s="17" t="s">
        <v>16</v>
      </c>
      <c r="I44" s="16">
        <v>2</v>
      </c>
    </row>
    <row r="45" ht="18.75" spans="1:9">
      <c r="A45" s="16">
        <v>44</v>
      </c>
      <c r="B45" s="16">
        <v>30</v>
      </c>
      <c r="C45" s="17" t="s">
        <v>13</v>
      </c>
      <c r="D45" s="17" t="s">
        <v>10</v>
      </c>
      <c r="E45" s="17" t="s">
        <v>11</v>
      </c>
      <c r="F45" s="16">
        <v>10799</v>
      </c>
      <c r="G45" s="16">
        <v>10</v>
      </c>
      <c r="H45" s="17" t="s">
        <v>16</v>
      </c>
      <c r="I45" s="16">
        <v>3</v>
      </c>
    </row>
    <row r="46" ht="18.75" spans="1:9">
      <c r="A46" s="16">
        <v>45</v>
      </c>
      <c r="B46" s="16">
        <v>48</v>
      </c>
      <c r="C46" s="17" t="s">
        <v>13</v>
      </c>
      <c r="D46" s="17" t="s">
        <v>22</v>
      </c>
      <c r="E46" s="17" t="s">
        <v>11</v>
      </c>
      <c r="F46" s="16">
        <v>5365</v>
      </c>
      <c r="G46" s="16">
        <v>8</v>
      </c>
      <c r="H46" s="17" t="s">
        <v>12</v>
      </c>
      <c r="I46" s="16">
        <v>1</v>
      </c>
    </row>
    <row r="47" ht="18.75" spans="1:9">
      <c r="A47" s="16">
        <v>46</v>
      </c>
      <c r="B47" s="16">
        <v>41</v>
      </c>
      <c r="C47" s="17" t="s">
        <v>9</v>
      </c>
      <c r="D47" s="17" t="s">
        <v>22</v>
      </c>
      <c r="E47" s="17" t="s">
        <v>18</v>
      </c>
      <c r="F47" s="16">
        <v>12708</v>
      </c>
      <c r="G47" s="16">
        <v>12</v>
      </c>
      <c r="H47" s="17" t="s">
        <v>16</v>
      </c>
      <c r="I47" s="16">
        <v>1</v>
      </c>
    </row>
    <row r="48" ht="18.75" spans="1:9">
      <c r="A48" s="16">
        <v>47</v>
      </c>
      <c r="B48" s="16">
        <v>37</v>
      </c>
      <c r="C48" s="17" t="s">
        <v>9</v>
      </c>
      <c r="D48" s="17" t="s">
        <v>10</v>
      </c>
      <c r="E48" s="17" t="s">
        <v>19</v>
      </c>
      <c r="F48" s="16">
        <v>7400</v>
      </c>
      <c r="G48" s="16">
        <v>20</v>
      </c>
      <c r="H48" s="17" t="s">
        <v>16</v>
      </c>
      <c r="I48" s="16">
        <v>5</v>
      </c>
    </row>
    <row r="49" ht="18.75" spans="1:9">
      <c r="A49" s="16">
        <v>48</v>
      </c>
      <c r="B49" s="16">
        <v>59</v>
      </c>
      <c r="C49" s="17" t="s">
        <v>9</v>
      </c>
      <c r="D49" s="17" t="s">
        <v>20</v>
      </c>
      <c r="E49" s="17" t="s">
        <v>11</v>
      </c>
      <c r="F49" s="16">
        <v>7838</v>
      </c>
      <c r="G49" s="16">
        <v>9</v>
      </c>
      <c r="H49" s="17" t="s">
        <v>12</v>
      </c>
      <c r="I49" s="16">
        <v>5</v>
      </c>
    </row>
    <row r="50" ht="18.75" spans="1:9">
      <c r="A50" s="16">
        <v>49</v>
      </c>
      <c r="B50" s="16">
        <v>31</v>
      </c>
      <c r="C50" s="17" t="s">
        <v>13</v>
      </c>
      <c r="D50" s="17" t="s">
        <v>17</v>
      </c>
      <c r="E50" s="17" t="s">
        <v>19</v>
      </c>
      <c r="F50" s="16">
        <v>12406</v>
      </c>
      <c r="G50" s="16">
        <v>16</v>
      </c>
      <c r="H50" s="17" t="s">
        <v>12</v>
      </c>
      <c r="I50" s="16">
        <v>1</v>
      </c>
    </row>
    <row r="51" ht="18.75" spans="1:9">
      <c r="A51" s="16">
        <v>50</v>
      </c>
      <c r="B51" s="16">
        <v>44</v>
      </c>
      <c r="C51" s="17" t="s">
        <v>13</v>
      </c>
      <c r="D51" s="17" t="s">
        <v>10</v>
      </c>
      <c r="E51" s="17" t="s">
        <v>11</v>
      </c>
      <c r="F51" s="16">
        <v>8130</v>
      </c>
      <c r="G51" s="16">
        <v>1</v>
      </c>
      <c r="H51" s="17" t="s">
        <v>16</v>
      </c>
      <c r="I51" s="16">
        <v>4</v>
      </c>
    </row>
    <row r="52" ht="18.75" spans="1:9">
      <c r="A52" s="16">
        <v>51</v>
      </c>
      <c r="B52" s="16">
        <v>50</v>
      </c>
      <c r="C52" s="17" t="s">
        <v>9</v>
      </c>
      <c r="D52" s="17" t="s">
        <v>17</v>
      </c>
      <c r="E52" s="17" t="s">
        <v>15</v>
      </c>
      <c r="F52" s="16">
        <v>9099</v>
      </c>
      <c r="G52" s="16">
        <v>12</v>
      </c>
      <c r="H52" s="17" t="s">
        <v>12</v>
      </c>
      <c r="I52" s="16">
        <v>1</v>
      </c>
    </row>
    <row r="53" ht="18.75" spans="1:9">
      <c r="A53" s="16">
        <v>52</v>
      </c>
      <c r="B53" s="16">
        <v>56</v>
      </c>
      <c r="C53" s="17" t="s">
        <v>9</v>
      </c>
      <c r="D53" s="17" t="s">
        <v>10</v>
      </c>
      <c r="E53" s="17" t="s">
        <v>18</v>
      </c>
      <c r="F53" s="16">
        <v>16911</v>
      </c>
      <c r="G53" s="16">
        <v>0</v>
      </c>
      <c r="H53" s="17" t="s">
        <v>16</v>
      </c>
      <c r="I53" s="16">
        <v>4</v>
      </c>
    </row>
    <row r="54" ht="18.75" spans="1:9">
      <c r="A54" s="16">
        <v>53</v>
      </c>
      <c r="B54" s="16">
        <v>52</v>
      </c>
      <c r="C54" s="17" t="s">
        <v>9</v>
      </c>
      <c r="D54" s="17" t="s">
        <v>14</v>
      </c>
      <c r="E54" s="17" t="s">
        <v>11</v>
      </c>
      <c r="F54" s="16">
        <v>19244</v>
      </c>
      <c r="G54" s="16">
        <v>10</v>
      </c>
      <c r="H54" s="17" t="s">
        <v>12</v>
      </c>
      <c r="I54" s="16">
        <v>1</v>
      </c>
    </row>
    <row r="55" ht="18.75" spans="1:9">
      <c r="A55" s="16">
        <v>54</v>
      </c>
      <c r="B55" s="16">
        <v>48</v>
      </c>
      <c r="C55" s="17" t="s">
        <v>13</v>
      </c>
      <c r="D55" s="17" t="s">
        <v>17</v>
      </c>
      <c r="E55" s="17" t="s">
        <v>11</v>
      </c>
      <c r="F55" s="16">
        <v>17487</v>
      </c>
      <c r="G55" s="16">
        <v>11</v>
      </c>
      <c r="H55" s="17" t="s">
        <v>12</v>
      </c>
      <c r="I55" s="16">
        <v>5</v>
      </c>
    </row>
    <row r="56" ht="18.75" spans="1:9">
      <c r="A56" s="16">
        <v>55</v>
      </c>
      <c r="B56" s="16">
        <v>34</v>
      </c>
      <c r="C56" s="17" t="s">
        <v>13</v>
      </c>
      <c r="D56" s="17" t="s">
        <v>22</v>
      </c>
      <c r="E56" s="17" t="s">
        <v>11</v>
      </c>
      <c r="F56" s="16">
        <v>5721</v>
      </c>
      <c r="G56" s="16">
        <v>20</v>
      </c>
      <c r="H56" s="17" t="s">
        <v>12</v>
      </c>
      <c r="I56" s="16">
        <v>5</v>
      </c>
    </row>
    <row r="57" ht="18.75" spans="1:9">
      <c r="A57" s="16">
        <v>56</v>
      </c>
      <c r="B57" s="16">
        <v>36</v>
      </c>
      <c r="C57" s="17" t="s">
        <v>9</v>
      </c>
      <c r="D57" s="17" t="s">
        <v>17</v>
      </c>
      <c r="E57" s="17" t="s">
        <v>19</v>
      </c>
      <c r="F57" s="16">
        <v>5380</v>
      </c>
      <c r="G57" s="16">
        <v>9</v>
      </c>
      <c r="H57" s="17" t="s">
        <v>16</v>
      </c>
      <c r="I57" s="16">
        <v>4</v>
      </c>
    </row>
    <row r="58" ht="18.75" spans="1:9">
      <c r="A58" s="16">
        <v>57</v>
      </c>
      <c r="B58" s="16">
        <v>52</v>
      </c>
      <c r="C58" s="17" t="s">
        <v>9</v>
      </c>
      <c r="D58" s="17" t="s">
        <v>20</v>
      </c>
      <c r="E58" s="17" t="s">
        <v>19</v>
      </c>
      <c r="F58" s="16">
        <v>19322</v>
      </c>
      <c r="G58" s="16">
        <v>14</v>
      </c>
      <c r="H58" s="17" t="s">
        <v>12</v>
      </c>
      <c r="I58" s="16">
        <v>2</v>
      </c>
    </row>
    <row r="59" ht="18.75" spans="1:9">
      <c r="A59" s="16">
        <v>58</v>
      </c>
      <c r="B59" s="16">
        <v>33</v>
      </c>
      <c r="C59" s="17" t="s">
        <v>9</v>
      </c>
      <c r="D59" s="17" t="s">
        <v>20</v>
      </c>
      <c r="E59" s="17" t="s">
        <v>19</v>
      </c>
      <c r="F59" s="16">
        <v>15671</v>
      </c>
      <c r="G59" s="16">
        <v>0</v>
      </c>
      <c r="H59" s="17" t="s">
        <v>16</v>
      </c>
      <c r="I59" s="16">
        <v>4</v>
      </c>
    </row>
    <row r="60" ht="18.75" spans="1:9">
      <c r="A60" s="16">
        <v>59</v>
      </c>
      <c r="B60" s="16">
        <v>30</v>
      </c>
      <c r="C60" s="17" t="s">
        <v>9</v>
      </c>
      <c r="D60" s="17" t="s">
        <v>17</v>
      </c>
      <c r="E60" s="17" t="s">
        <v>19</v>
      </c>
      <c r="F60" s="16">
        <v>17711</v>
      </c>
      <c r="G60" s="16">
        <v>9</v>
      </c>
      <c r="H60" s="17" t="s">
        <v>12</v>
      </c>
      <c r="I60" s="16">
        <v>4</v>
      </c>
    </row>
    <row r="61" ht="18.75" spans="1:9">
      <c r="A61" s="16">
        <v>60</v>
      </c>
      <c r="B61" s="16">
        <v>33</v>
      </c>
      <c r="C61" s="17" t="s">
        <v>13</v>
      </c>
      <c r="D61" s="17" t="s">
        <v>14</v>
      </c>
      <c r="E61" s="17" t="s">
        <v>11</v>
      </c>
      <c r="F61" s="16">
        <v>12206</v>
      </c>
      <c r="G61" s="16">
        <v>2</v>
      </c>
      <c r="H61" s="17" t="s">
        <v>12</v>
      </c>
      <c r="I61" s="16">
        <v>3</v>
      </c>
    </row>
    <row r="62" ht="18.75" spans="1:9">
      <c r="A62" s="16">
        <v>61</v>
      </c>
      <c r="B62" s="16">
        <v>57</v>
      </c>
      <c r="C62" s="17" t="s">
        <v>13</v>
      </c>
      <c r="D62" s="17" t="s">
        <v>22</v>
      </c>
      <c r="E62" s="17" t="s">
        <v>19</v>
      </c>
      <c r="F62" s="16">
        <v>14634</v>
      </c>
      <c r="G62" s="16">
        <v>5</v>
      </c>
      <c r="H62" s="17" t="s">
        <v>16</v>
      </c>
      <c r="I62" s="16">
        <v>4</v>
      </c>
    </row>
    <row r="63" ht="18.75" spans="1:9">
      <c r="A63" s="16">
        <v>62</v>
      </c>
      <c r="B63" s="16">
        <v>42</v>
      </c>
      <c r="C63" s="17" t="s">
        <v>9</v>
      </c>
      <c r="D63" s="17" t="s">
        <v>17</v>
      </c>
      <c r="E63" s="17" t="s">
        <v>18</v>
      </c>
      <c r="F63" s="16">
        <v>11816</v>
      </c>
      <c r="G63" s="16">
        <v>15</v>
      </c>
      <c r="H63" s="17" t="s">
        <v>12</v>
      </c>
      <c r="I63" s="16">
        <v>3</v>
      </c>
    </row>
    <row r="64" ht="18.75" spans="1:9">
      <c r="A64" s="16">
        <v>63</v>
      </c>
      <c r="B64" s="16">
        <v>44</v>
      </c>
      <c r="C64" s="17" t="s">
        <v>9</v>
      </c>
      <c r="D64" s="17" t="s">
        <v>20</v>
      </c>
      <c r="E64" s="17" t="s">
        <v>15</v>
      </c>
      <c r="F64" s="16">
        <v>4250</v>
      </c>
      <c r="G64" s="16">
        <v>15</v>
      </c>
      <c r="H64" s="17" t="s">
        <v>12</v>
      </c>
      <c r="I64" s="16">
        <v>4</v>
      </c>
    </row>
    <row r="65" ht="18.75" spans="1:9">
      <c r="A65" s="16">
        <v>64</v>
      </c>
      <c r="B65" s="16">
        <v>24</v>
      </c>
      <c r="C65" s="17" t="s">
        <v>13</v>
      </c>
      <c r="D65" s="17" t="s">
        <v>10</v>
      </c>
      <c r="E65" s="17" t="s">
        <v>18</v>
      </c>
      <c r="F65" s="16">
        <v>13611</v>
      </c>
      <c r="G65" s="16">
        <v>0</v>
      </c>
      <c r="H65" s="17" t="s">
        <v>12</v>
      </c>
      <c r="I65" s="16">
        <v>4</v>
      </c>
    </row>
    <row r="66" ht="18.75" spans="1:9">
      <c r="A66" s="16">
        <v>65</v>
      </c>
      <c r="B66" s="16">
        <v>30</v>
      </c>
      <c r="C66" s="17" t="s">
        <v>13</v>
      </c>
      <c r="D66" s="17" t="s">
        <v>17</v>
      </c>
      <c r="E66" s="17" t="s">
        <v>15</v>
      </c>
      <c r="F66" s="16">
        <v>12857</v>
      </c>
      <c r="G66" s="16">
        <v>16</v>
      </c>
      <c r="H66" s="17" t="s">
        <v>12</v>
      </c>
      <c r="I66" s="16">
        <v>2</v>
      </c>
    </row>
    <row r="67" ht="18.75" spans="1:9">
      <c r="A67" s="16">
        <v>66</v>
      </c>
      <c r="B67" s="16">
        <v>58</v>
      </c>
      <c r="C67" s="17" t="s">
        <v>13</v>
      </c>
      <c r="D67" s="17" t="s">
        <v>22</v>
      </c>
      <c r="E67" s="17" t="s">
        <v>11</v>
      </c>
      <c r="F67" s="16">
        <v>18209</v>
      </c>
      <c r="G67" s="16">
        <v>0</v>
      </c>
      <c r="H67" s="17" t="s">
        <v>12</v>
      </c>
      <c r="I67" s="16">
        <v>1</v>
      </c>
    </row>
    <row r="68" ht="18.75" spans="1:9">
      <c r="A68" s="16">
        <v>67</v>
      </c>
      <c r="B68" s="16">
        <v>30</v>
      </c>
      <c r="C68" s="17" t="s">
        <v>9</v>
      </c>
      <c r="D68" s="17" t="s">
        <v>10</v>
      </c>
      <c r="E68" s="17" t="s">
        <v>19</v>
      </c>
      <c r="F68" s="16">
        <v>14464</v>
      </c>
      <c r="G68" s="16">
        <v>16</v>
      </c>
      <c r="H68" s="17" t="s">
        <v>16</v>
      </c>
      <c r="I68" s="16">
        <v>4</v>
      </c>
    </row>
    <row r="69" ht="18.75" spans="1:9">
      <c r="A69" s="16">
        <v>68</v>
      </c>
      <c r="B69" s="16">
        <v>30</v>
      </c>
      <c r="C69" s="17" t="s">
        <v>9</v>
      </c>
      <c r="D69" s="17" t="s">
        <v>20</v>
      </c>
      <c r="E69" s="17" t="s">
        <v>18</v>
      </c>
      <c r="F69" s="16">
        <v>16403</v>
      </c>
      <c r="G69" s="16">
        <v>7</v>
      </c>
      <c r="H69" s="17" t="s">
        <v>12</v>
      </c>
      <c r="I69" s="16">
        <v>5</v>
      </c>
    </row>
    <row r="70" ht="18.75" spans="1:9">
      <c r="A70" s="16">
        <v>69</v>
      </c>
      <c r="B70" s="16">
        <v>24</v>
      </c>
      <c r="C70" s="17" t="s">
        <v>13</v>
      </c>
      <c r="D70" s="17" t="s">
        <v>14</v>
      </c>
      <c r="E70" s="17" t="s">
        <v>11</v>
      </c>
      <c r="F70" s="16">
        <v>5901</v>
      </c>
      <c r="G70" s="16">
        <v>7</v>
      </c>
      <c r="H70" s="17" t="s">
        <v>16</v>
      </c>
      <c r="I70" s="16">
        <v>1</v>
      </c>
    </row>
    <row r="71" ht="18.75" spans="1:9">
      <c r="A71" s="16">
        <v>70</v>
      </c>
      <c r="B71" s="16">
        <v>55</v>
      </c>
      <c r="C71" s="17" t="s">
        <v>9</v>
      </c>
      <c r="D71" s="17" t="s">
        <v>14</v>
      </c>
      <c r="E71" s="17" t="s">
        <v>15</v>
      </c>
      <c r="F71" s="16">
        <v>10972</v>
      </c>
      <c r="G71" s="16">
        <v>11</v>
      </c>
      <c r="H71" s="17" t="s">
        <v>12</v>
      </c>
      <c r="I71" s="16">
        <v>4</v>
      </c>
    </row>
    <row r="72" ht="18.75" spans="1:9">
      <c r="A72" s="16">
        <v>71</v>
      </c>
      <c r="B72" s="16">
        <v>32</v>
      </c>
      <c r="C72" s="17" t="s">
        <v>13</v>
      </c>
      <c r="D72" s="17" t="s">
        <v>22</v>
      </c>
      <c r="E72" s="17" t="s">
        <v>11</v>
      </c>
      <c r="F72" s="16">
        <v>3364</v>
      </c>
      <c r="G72" s="16">
        <v>0</v>
      </c>
      <c r="H72" s="17" t="s">
        <v>12</v>
      </c>
      <c r="I72" s="16">
        <v>2</v>
      </c>
    </row>
    <row r="73" ht="18.75" spans="1:9">
      <c r="A73" s="16">
        <v>72</v>
      </c>
      <c r="B73" s="16">
        <v>56</v>
      </c>
      <c r="C73" s="17" t="s">
        <v>13</v>
      </c>
      <c r="D73" s="17" t="s">
        <v>20</v>
      </c>
      <c r="E73" s="17" t="s">
        <v>18</v>
      </c>
      <c r="F73" s="16">
        <v>18573</v>
      </c>
      <c r="G73" s="16">
        <v>0</v>
      </c>
      <c r="H73" s="17" t="s">
        <v>12</v>
      </c>
      <c r="I73" s="16">
        <v>4</v>
      </c>
    </row>
    <row r="74" ht="18.75" spans="1:9">
      <c r="A74" s="16">
        <v>73</v>
      </c>
      <c r="B74" s="16">
        <v>32</v>
      </c>
      <c r="C74" s="17" t="s">
        <v>13</v>
      </c>
      <c r="D74" s="17" t="s">
        <v>20</v>
      </c>
      <c r="E74" s="17" t="s">
        <v>18</v>
      </c>
      <c r="F74" s="16">
        <v>13097</v>
      </c>
      <c r="G74" s="16">
        <v>9</v>
      </c>
      <c r="H74" s="17" t="s">
        <v>12</v>
      </c>
      <c r="I74" s="16">
        <v>5</v>
      </c>
    </row>
    <row r="75" ht="18.75" spans="1:9">
      <c r="A75" s="16">
        <v>74</v>
      </c>
      <c r="B75" s="16">
        <v>39</v>
      </c>
      <c r="C75" s="17" t="s">
        <v>9</v>
      </c>
      <c r="D75" s="17" t="s">
        <v>10</v>
      </c>
      <c r="E75" s="17" t="s">
        <v>15</v>
      </c>
      <c r="F75" s="16">
        <v>4056</v>
      </c>
      <c r="G75" s="16">
        <v>16</v>
      </c>
      <c r="H75" s="17" t="s">
        <v>12</v>
      </c>
      <c r="I75" s="16">
        <v>5</v>
      </c>
    </row>
    <row r="76" ht="18.75" spans="1:9">
      <c r="A76" s="16">
        <v>75</v>
      </c>
      <c r="B76" s="16">
        <v>55</v>
      </c>
      <c r="C76" s="17" t="s">
        <v>9</v>
      </c>
      <c r="D76" s="17" t="s">
        <v>10</v>
      </c>
      <c r="E76" s="17" t="s">
        <v>11</v>
      </c>
      <c r="F76" s="16">
        <v>8425</v>
      </c>
      <c r="G76" s="16">
        <v>1</v>
      </c>
      <c r="H76" s="17" t="s">
        <v>16</v>
      </c>
      <c r="I76" s="16">
        <v>4</v>
      </c>
    </row>
    <row r="77" ht="18.75" spans="1:9">
      <c r="A77" s="16">
        <v>76</v>
      </c>
      <c r="B77" s="16">
        <v>34</v>
      </c>
      <c r="C77" s="17" t="s">
        <v>13</v>
      </c>
      <c r="D77" s="17" t="s">
        <v>14</v>
      </c>
      <c r="E77" s="17" t="s">
        <v>18</v>
      </c>
      <c r="F77" s="16">
        <v>10413</v>
      </c>
      <c r="G77" s="16">
        <v>13</v>
      </c>
      <c r="H77" s="17" t="s">
        <v>12</v>
      </c>
      <c r="I77" s="16">
        <v>2</v>
      </c>
    </row>
    <row r="78" ht="18.75" spans="1:9">
      <c r="A78" s="16">
        <v>77</v>
      </c>
      <c r="B78" s="16">
        <v>28</v>
      </c>
      <c r="C78" s="17" t="s">
        <v>9</v>
      </c>
      <c r="D78" s="17" t="s">
        <v>22</v>
      </c>
      <c r="E78" s="17" t="s">
        <v>18</v>
      </c>
      <c r="F78" s="16">
        <v>18217</v>
      </c>
      <c r="G78" s="16">
        <v>2</v>
      </c>
      <c r="H78" s="17" t="s">
        <v>16</v>
      </c>
      <c r="I78" s="16">
        <v>4</v>
      </c>
    </row>
    <row r="79" ht="18.75" spans="1:9">
      <c r="A79" s="16">
        <v>78</v>
      </c>
      <c r="B79" s="16">
        <v>32</v>
      </c>
      <c r="C79" s="17" t="s">
        <v>9</v>
      </c>
      <c r="D79" s="17" t="s">
        <v>14</v>
      </c>
      <c r="E79" s="17" t="s">
        <v>15</v>
      </c>
      <c r="F79" s="16">
        <v>12986</v>
      </c>
      <c r="G79" s="16">
        <v>13</v>
      </c>
      <c r="H79" s="17" t="s">
        <v>16</v>
      </c>
      <c r="I79" s="16">
        <v>3</v>
      </c>
    </row>
    <row r="80" ht="18.75" spans="1:9">
      <c r="A80" s="16">
        <v>79</v>
      </c>
      <c r="B80" s="16">
        <v>24</v>
      </c>
      <c r="C80" s="17" t="s">
        <v>13</v>
      </c>
      <c r="D80" s="17" t="s">
        <v>17</v>
      </c>
      <c r="E80" s="17" t="s">
        <v>11</v>
      </c>
      <c r="F80" s="16">
        <v>16659</v>
      </c>
      <c r="G80" s="16">
        <v>2</v>
      </c>
      <c r="H80" s="17" t="s">
        <v>16</v>
      </c>
      <c r="I80" s="16">
        <v>3</v>
      </c>
    </row>
    <row r="81" ht="18.75" spans="1:9">
      <c r="A81" s="16">
        <v>80</v>
      </c>
      <c r="B81" s="16">
        <v>39</v>
      </c>
      <c r="C81" s="17" t="s">
        <v>9</v>
      </c>
      <c r="D81" s="17" t="s">
        <v>22</v>
      </c>
      <c r="E81" s="17" t="s">
        <v>19</v>
      </c>
      <c r="F81" s="16">
        <v>17617</v>
      </c>
      <c r="G81" s="16">
        <v>20</v>
      </c>
      <c r="H81" s="17" t="s">
        <v>12</v>
      </c>
      <c r="I81" s="16">
        <v>2</v>
      </c>
    </row>
    <row r="82" ht="18.75" spans="1:9">
      <c r="A82" s="16">
        <v>81</v>
      </c>
      <c r="B82" s="16">
        <v>41</v>
      </c>
      <c r="C82" s="17" t="s">
        <v>13</v>
      </c>
      <c r="D82" s="17" t="s">
        <v>14</v>
      </c>
      <c r="E82" s="17" t="s">
        <v>18</v>
      </c>
      <c r="F82" s="16">
        <v>8392</v>
      </c>
      <c r="G82" s="16">
        <v>7</v>
      </c>
      <c r="H82" s="17" t="s">
        <v>12</v>
      </c>
      <c r="I82" s="16">
        <v>3</v>
      </c>
    </row>
    <row r="83" ht="18.75" spans="1:9">
      <c r="A83" s="16">
        <v>82</v>
      </c>
      <c r="B83" s="16">
        <v>59</v>
      </c>
      <c r="C83" s="17" t="s">
        <v>13</v>
      </c>
      <c r="D83" s="17" t="s">
        <v>14</v>
      </c>
      <c r="E83" s="17" t="s">
        <v>15</v>
      </c>
      <c r="F83" s="16">
        <v>14469</v>
      </c>
      <c r="G83" s="16">
        <v>2</v>
      </c>
      <c r="H83" s="17" t="s">
        <v>16</v>
      </c>
      <c r="I83" s="16">
        <v>4</v>
      </c>
    </row>
    <row r="84" ht="18.75" spans="1:9">
      <c r="A84" s="16">
        <v>83</v>
      </c>
      <c r="B84" s="16">
        <v>60</v>
      </c>
      <c r="C84" s="17" t="s">
        <v>13</v>
      </c>
      <c r="D84" s="17" t="s">
        <v>10</v>
      </c>
      <c r="E84" s="17" t="s">
        <v>15</v>
      </c>
      <c r="F84" s="16">
        <v>19229</v>
      </c>
      <c r="G84" s="16">
        <v>1</v>
      </c>
      <c r="H84" s="17" t="s">
        <v>12</v>
      </c>
      <c r="I84" s="16">
        <v>3</v>
      </c>
    </row>
    <row r="85" ht="18.75" spans="1:9">
      <c r="A85" s="16">
        <v>84</v>
      </c>
      <c r="B85" s="16">
        <v>32</v>
      </c>
      <c r="C85" s="17" t="s">
        <v>13</v>
      </c>
      <c r="D85" s="17" t="s">
        <v>20</v>
      </c>
      <c r="E85" s="17" t="s">
        <v>19</v>
      </c>
      <c r="F85" s="16">
        <v>14986</v>
      </c>
      <c r="G85" s="16">
        <v>1</v>
      </c>
      <c r="H85" s="17" t="s">
        <v>12</v>
      </c>
      <c r="I85" s="16">
        <v>2</v>
      </c>
    </row>
    <row r="86" ht="18.75" spans="1:9">
      <c r="A86" s="16">
        <v>85</v>
      </c>
      <c r="B86" s="16">
        <v>25</v>
      </c>
      <c r="C86" s="17" t="s">
        <v>13</v>
      </c>
      <c r="D86" s="17" t="s">
        <v>20</v>
      </c>
      <c r="E86" s="17" t="s">
        <v>19</v>
      </c>
      <c r="F86" s="16">
        <v>10517</v>
      </c>
      <c r="G86" s="16">
        <v>19</v>
      </c>
      <c r="H86" s="17" t="s">
        <v>16</v>
      </c>
      <c r="I86" s="16">
        <v>2</v>
      </c>
    </row>
    <row r="87" ht="18.75" spans="1:9">
      <c r="A87" s="16">
        <v>86</v>
      </c>
      <c r="B87" s="16">
        <v>58</v>
      </c>
      <c r="C87" s="17" t="s">
        <v>9</v>
      </c>
      <c r="D87" s="17" t="s">
        <v>17</v>
      </c>
      <c r="E87" s="17" t="s">
        <v>19</v>
      </c>
      <c r="F87" s="16">
        <v>18101</v>
      </c>
      <c r="G87" s="16">
        <v>15</v>
      </c>
      <c r="H87" s="17" t="s">
        <v>12</v>
      </c>
      <c r="I87" s="16">
        <v>4</v>
      </c>
    </row>
    <row r="88" ht="18.75" spans="1:9">
      <c r="A88" s="16">
        <v>87</v>
      </c>
      <c r="B88" s="16">
        <v>36</v>
      </c>
      <c r="C88" s="17" t="s">
        <v>13</v>
      </c>
      <c r="D88" s="17" t="s">
        <v>17</v>
      </c>
      <c r="E88" s="17" t="s">
        <v>11</v>
      </c>
      <c r="F88" s="16">
        <v>17415</v>
      </c>
      <c r="G88" s="16">
        <v>0</v>
      </c>
      <c r="H88" s="17" t="s">
        <v>12</v>
      </c>
      <c r="I88" s="16">
        <v>3</v>
      </c>
    </row>
    <row r="89" ht="18.75" spans="1:9">
      <c r="A89" s="16">
        <v>88</v>
      </c>
      <c r="B89" s="16">
        <v>51</v>
      </c>
      <c r="C89" s="17" t="s">
        <v>13</v>
      </c>
      <c r="D89" s="17" t="s">
        <v>14</v>
      </c>
      <c r="E89" s="17" t="s">
        <v>15</v>
      </c>
      <c r="F89" s="16">
        <v>14824</v>
      </c>
      <c r="G89" s="16">
        <v>8</v>
      </c>
      <c r="H89" s="17" t="s">
        <v>12</v>
      </c>
      <c r="I89" s="16">
        <v>5</v>
      </c>
    </row>
    <row r="90" ht="18.75" spans="1:9">
      <c r="A90" s="16">
        <v>89</v>
      </c>
      <c r="B90" s="16">
        <v>28</v>
      </c>
      <c r="C90" s="17" t="s">
        <v>9</v>
      </c>
      <c r="D90" s="17" t="s">
        <v>22</v>
      </c>
      <c r="E90" s="17" t="s">
        <v>11</v>
      </c>
      <c r="F90" s="16">
        <v>12935</v>
      </c>
      <c r="G90" s="16">
        <v>14</v>
      </c>
      <c r="H90" s="17" t="s">
        <v>16</v>
      </c>
      <c r="I90" s="16">
        <v>3</v>
      </c>
    </row>
    <row r="91" ht="18.75" spans="1:9">
      <c r="A91" s="16">
        <v>90</v>
      </c>
      <c r="B91" s="16">
        <v>22</v>
      </c>
      <c r="C91" s="17" t="s">
        <v>13</v>
      </c>
      <c r="D91" s="17" t="s">
        <v>10</v>
      </c>
      <c r="E91" s="17" t="s">
        <v>18</v>
      </c>
      <c r="F91" s="16">
        <v>17855</v>
      </c>
      <c r="G91" s="16">
        <v>4</v>
      </c>
      <c r="H91" s="17" t="s">
        <v>12</v>
      </c>
      <c r="I91" s="16">
        <v>5</v>
      </c>
    </row>
    <row r="92" ht="18.75" spans="1:9">
      <c r="A92" s="16">
        <v>91</v>
      </c>
      <c r="B92" s="16">
        <v>37</v>
      </c>
      <c r="C92" s="17" t="s">
        <v>9</v>
      </c>
      <c r="D92" s="17" t="s">
        <v>14</v>
      </c>
      <c r="E92" s="17" t="s">
        <v>19</v>
      </c>
      <c r="F92" s="16">
        <v>19126</v>
      </c>
      <c r="G92" s="16">
        <v>0</v>
      </c>
      <c r="H92" s="17" t="s">
        <v>12</v>
      </c>
      <c r="I92" s="16">
        <v>1</v>
      </c>
    </row>
    <row r="93" ht="18.75" spans="1:9">
      <c r="A93" s="16">
        <v>92</v>
      </c>
      <c r="B93" s="16">
        <v>59</v>
      </c>
      <c r="C93" s="17" t="s">
        <v>9</v>
      </c>
      <c r="D93" s="17" t="s">
        <v>14</v>
      </c>
      <c r="E93" s="17" t="s">
        <v>11</v>
      </c>
      <c r="F93" s="16">
        <v>13610</v>
      </c>
      <c r="G93" s="16">
        <v>2</v>
      </c>
      <c r="H93" s="17" t="s">
        <v>12</v>
      </c>
      <c r="I93" s="16">
        <v>2</v>
      </c>
    </row>
    <row r="94" ht="18.75" spans="1:9">
      <c r="A94" s="16">
        <v>93</v>
      </c>
      <c r="B94" s="16">
        <v>46</v>
      </c>
      <c r="C94" s="17" t="s">
        <v>9</v>
      </c>
      <c r="D94" s="17" t="s">
        <v>14</v>
      </c>
      <c r="E94" s="17" t="s">
        <v>18</v>
      </c>
      <c r="F94" s="16">
        <v>4531</v>
      </c>
      <c r="G94" s="16">
        <v>5</v>
      </c>
      <c r="H94" s="17" t="s">
        <v>12</v>
      </c>
      <c r="I94" s="16">
        <v>5</v>
      </c>
    </row>
    <row r="95" ht="18.75" spans="1:9">
      <c r="A95" s="16">
        <v>94</v>
      </c>
      <c r="B95" s="16">
        <v>41</v>
      </c>
      <c r="C95" s="17" t="s">
        <v>9</v>
      </c>
      <c r="D95" s="17" t="s">
        <v>17</v>
      </c>
      <c r="E95" s="17" t="s">
        <v>18</v>
      </c>
      <c r="F95" s="16">
        <v>8622</v>
      </c>
      <c r="G95" s="16">
        <v>8</v>
      </c>
      <c r="H95" s="17" t="s">
        <v>12</v>
      </c>
      <c r="I95" s="16">
        <v>3</v>
      </c>
    </row>
    <row r="96" ht="18.75" spans="1:9">
      <c r="A96" s="16">
        <v>95</v>
      </c>
      <c r="B96" s="16">
        <v>52</v>
      </c>
      <c r="C96" s="17" t="s">
        <v>9</v>
      </c>
      <c r="D96" s="17" t="s">
        <v>14</v>
      </c>
      <c r="E96" s="17" t="s">
        <v>18</v>
      </c>
      <c r="F96" s="16">
        <v>18949</v>
      </c>
      <c r="G96" s="16">
        <v>20</v>
      </c>
      <c r="H96" s="17" t="s">
        <v>12</v>
      </c>
      <c r="I96" s="16">
        <v>2</v>
      </c>
    </row>
    <row r="97" ht="18.75" spans="1:9">
      <c r="A97" s="16">
        <v>96</v>
      </c>
      <c r="B97" s="16">
        <v>26</v>
      </c>
      <c r="C97" s="17" t="s">
        <v>9</v>
      </c>
      <c r="D97" s="17" t="s">
        <v>20</v>
      </c>
      <c r="E97" s="17" t="s">
        <v>21</v>
      </c>
      <c r="F97" s="16">
        <v>9273</v>
      </c>
      <c r="G97" s="16">
        <v>12</v>
      </c>
      <c r="H97" s="17" t="s">
        <v>12</v>
      </c>
      <c r="I97" s="16">
        <v>5</v>
      </c>
    </row>
    <row r="98" ht="18.75" spans="1:9">
      <c r="A98" s="16">
        <v>97</v>
      </c>
      <c r="B98" s="16">
        <v>50</v>
      </c>
      <c r="C98" s="17" t="s">
        <v>9</v>
      </c>
      <c r="D98" s="17" t="s">
        <v>17</v>
      </c>
      <c r="E98" s="17" t="s">
        <v>19</v>
      </c>
      <c r="F98" s="16">
        <v>7482</v>
      </c>
      <c r="G98" s="16">
        <v>2</v>
      </c>
      <c r="H98" s="17" t="s">
        <v>12</v>
      </c>
      <c r="I98" s="16">
        <v>1</v>
      </c>
    </row>
    <row r="99" ht="18.75" spans="1:9">
      <c r="A99" s="16">
        <v>98</v>
      </c>
      <c r="B99" s="16">
        <v>26</v>
      </c>
      <c r="C99" s="17" t="s">
        <v>9</v>
      </c>
      <c r="D99" s="17" t="s">
        <v>20</v>
      </c>
      <c r="E99" s="17" t="s">
        <v>11</v>
      </c>
      <c r="F99" s="16">
        <v>16799</v>
      </c>
      <c r="G99" s="16">
        <v>4</v>
      </c>
      <c r="H99" s="17" t="s">
        <v>12</v>
      </c>
      <c r="I99" s="16">
        <v>1</v>
      </c>
    </row>
    <row r="100" ht="18.75" spans="1:9">
      <c r="A100" s="16">
        <v>99</v>
      </c>
      <c r="B100" s="16">
        <v>42</v>
      </c>
      <c r="C100" s="17" t="s">
        <v>9</v>
      </c>
      <c r="D100" s="17" t="s">
        <v>10</v>
      </c>
      <c r="E100" s="17" t="s">
        <v>18</v>
      </c>
      <c r="F100" s="16">
        <v>8574</v>
      </c>
      <c r="G100" s="16">
        <v>12</v>
      </c>
      <c r="H100" s="17" t="s">
        <v>16</v>
      </c>
      <c r="I100" s="16">
        <v>5</v>
      </c>
    </row>
    <row r="101" ht="18.75" spans="1:9">
      <c r="A101" s="16">
        <v>100</v>
      </c>
      <c r="B101" s="16">
        <v>24</v>
      </c>
      <c r="C101" s="17" t="s">
        <v>9</v>
      </c>
      <c r="D101" s="17" t="s">
        <v>14</v>
      </c>
      <c r="E101" s="17" t="s">
        <v>11</v>
      </c>
      <c r="F101" s="16">
        <v>3723</v>
      </c>
      <c r="G101" s="16">
        <v>19</v>
      </c>
      <c r="H101" s="17" t="s">
        <v>12</v>
      </c>
      <c r="I101" s="16">
        <v>2</v>
      </c>
    </row>
    <row r="102" ht="18.75" spans="1:9">
      <c r="A102" s="16">
        <v>101</v>
      </c>
      <c r="B102" s="16">
        <v>57</v>
      </c>
      <c r="C102" s="17" t="s">
        <v>13</v>
      </c>
      <c r="D102" s="17" t="s">
        <v>14</v>
      </c>
      <c r="E102" s="17" t="s">
        <v>11</v>
      </c>
      <c r="F102" s="16">
        <v>15852</v>
      </c>
      <c r="G102" s="16">
        <v>14</v>
      </c>
      <c r="H102" s="17" t="s">
        <v>12</v>
      </c>
      <c r="I102" s="16">
        <v>4</v>
      </c>
    </row>
    <row r="103" ht="18.75" spans="1:9">
      <c r="A103" s="16">
        <v>102</v>
      </c>
      <c r="B103" s="16">
        <v>59</v>
      </c>
      <c r="C103" s="17" t="s">
        <v>13</v>
      </c>
      <c r="D103" s="17" t="s">
        <v>14</v>
      </c>
      <c r="E103" s="17" t="s">
        <v>15</v>
      </c>
      <c r="F103" s="16">
        <v>3510</v>
      </c>
      <c r="G103" s="16">
        <v>7</v>
      </c>
      <c r="H103" s="17" t="s">
        <v>12</v>
      </c>
      <c r="I103" s="16">
        <v>5</v>
      </c>
    </row>
    <row r="104" ht="18.75" spans="1:9">
      <c r="A104" s="16">
        <v>103</v>
      </c>
      <c r="B104" s="16">
        <v>45</v>
      </c>
      <c r="C104" s="17" t="s">
        <v>9</v>
      </c>
      <c r="D104" s="17" t="s">
        <v>14</v>
      </c>
      <c r="E104" s="17" t="s">
        <v>19</v>
      </c>
      <c r="F104" s="16">
        <v>7125</v>
      </c>
      <c r="G104" s="16">
        <v>10</v>
      </c>
      <c r="H104" s="17" t="s">
        <v>16</v>
      </c>
      <c r="I104" s="16">
        <v>4</v>
      </c>
    </row>
    <row r="105" ht="18.75" spans="1:9">
      <c r="A105" s="16">
        <v>104</v>
      </c>
      <c r="B105" s="16">
        <v>25</v>
      </c>
      <c r="C105" s="17" t="s">
        <v>13</v>
      </c>
      <c r="D105" s="17" t="s">
        <v>20</v>
      </c>
      <c r="E105" s="17" t="s">
        <v>19</v>
      </c>
      <c r="F105" s="16">
        <v>19028</v>
      </c>
      <c r="G105" s="16">
        <v>6</v>
      </c>
      <c r="H105" s="17" t="s">
        <v>16</v>
      </c>
      <c r="I105" s="16">
        <v>4</v>
      </c>
    </row>
    <row r="106" ht="18.75" spans="1:9">
      <c r="A106" s="16">
        <v>105</v>
      </c>
      <c r="B106" s="16">
        <v>58</v>
      </c>
      <c r="C106" s="17" t="s">
        <v>13</v>
      </c>
      <c r="D106" s="17" t="s">
        <v>14</v>
      </c>
      <c r="E106" s="17" t="s">
        <v>21</v>
      </c>
      <c r="F106" s="16">
        <v>10848</v>
      </c>
      <c r="G106" s="16">
        <v>10</v>
      </c>
      <c r="H106" s="17" t="s">
        <v>12</v>
      </c>
      <c r="I106" s="16">
        <v>4</v>
      </c>
    </row>
    <row r="107" ht="18.75" spans="1:9">
      <c r="A107" s="16">
        <v>106</v>
      </c>
      <c r="B107" s="16">
        <v>44</v>
      </c>
      <c r="C107" s="17" t="s">
        <v>13</v>
      </c>
      <c r="D107" s="17" t="s">
        <v>10</v>
      </c>
      <c r="E107" s="17" t="s">
        <v>11</v>
      </c>
      <c r="F107" s="16">
        <v>11659</v>
      </c>
      <c r="G107" s="16">
        <v>8</v>
      </c>
      <c r="H107" s="17" t="s">
        <v>16</v>
      </c>
      <c r="I107" s="16">
        <v>1</v>
      </c>
    </row>
    <row r="108" ht="18.75" spans="1:9">
      <c r="A108" s="16">
        <v>107</v>
      </c>
      <c r="B108" s="16">
        <v>43</v>
      </c>
      <c r="C108" s="17" t="s">
        <v>13</v>
      </c>
      <c r="D108" s="17" t="s">
        <v>14</v>
      </c>
      <c r="E108" s="17" t="s">
        <v>19</v>
      </c>
      <c r="F108" s="16">
        <v>19059</v>
      </c>
      <c r="G108" s="16">
        <v>13</v>
      </c>
      <c r="H108" s="17" t="s">
        <v>12</v>
      </c>
      <c r="I108" s="16">
        <v>4</v>
      </c>
    </row>
    <row r="109" ht="18.75" spans="1:9">
      <c r="A109" s="16">
        <v>108</v>
      </c>
      <c r="B109" s="16">
        <v>59</v>
      </c>
      <c r="C109" s="17" t="s">
        <v>9</v>
      </c>
      <c r="D109" s="17" t="s">
        <v>10</v>
      </c>
      <c r="E109" s="17" t="s">
        <v>11</v>
      </c>
      <c r="F109" s="16">
        <v>17085</v>
      </c>
      <c r="G109" s="16">
        <v>5</v>
      </c>
      <c r="H109" s="17" t="s">
        <v>12</v>
      </c>
      <c r="I109" s="16">
        <v>2</v>
      </c>
    </row>
    <row r="110" ht="18.75" spans="1:9">
      <c r="A110" s="16">
        <v>109</v>
      </c>
      <c r="B110" s="16">
        <v>42</v>
      </c>
      <c r="C110" s="17" t="s">
        <v>13</v>
      </c>
      <c r="D110" s="17" t="s">
        <v>17</v>
      </c>
      <c r="E110" s="17" t="s">
        <v>18</v>
      </c>
      <c r="F110" s="16">
        <v>7486</v>
      </c>
      <c r="G110" s="16">
        <v>18</v>
      </c>
      <c r="H110" s="17" t="s">
        <v>16</v>
      </c>
      <c r="I110" s="16">
        <v>4</v>
      </c>
    </row>
    <row r="111" ht="18.75" spans="1:9">
      <c r="A111" s="16">
        <v>110</v>
      </c>
      <c r="B111" s="16">
        <v>35</v>
      </c>
      <c r="C111" s="17" t="s">
        <v>13</v>
      </c>
      <c r="D111" s="17" t="s">
        <v>20</v>
      </c>
      <c r="E111" s="17" t="s">
        <v>15</v>
      </c>
      <c r="F111" s="16">
        <v>4885</v>
      </c>
      <c r="G111" s="16">
        <v>4</v>
      </c>
      <c r="H111" s="17" t="s">
        <v>12</v>
      </c>
      <c r="I111" s="16">
        <v>5</v>
      </c>
    </row>
    <row r="112" ht="18.75" spans="1:9">
      <c r="A112" s="16">
        <v>111</v>
      </c>
      <c r="B112" s="16">
        <v>28</v>
      </c>
      <c r="C112" s="17" t="s">
        <v>13</v>
      </c>
      <c r="D112" s="17" t="s">
        <v>17</v>
      </c>
      <c r="E112" s="17" t="s">
        <v>19</v>
      </c>
      <c r="F112" s="16">
        <v>4841</v>
      </c>
      <c r="G112" s="16">
        <v>12</v>
      </c>
      <c r="H112" s="17" t="s">
        <v>12</v>
      </c>
      <c r="I112" s="16">
        <v>5</v>
      </c>
    </row>
    <row r="113" ht="18.75" spans="1:9">
      <c r="A113" s="16">
        <v>112</v>
      </c>
      <c r="B113" s="16">
        <v>32</v>
      </c>
      <c r="C113" s="17" t="s">
        <v>13</v>
      </c>
      <c r="D113" s="17" t="s">
        <v>17</v>
      </c>
      <c r="E113" s="17" t="s">
        <v>15</v>
      </c>
      <c r="F113" s="16">
        <v>13329</v>
      </c>
      <c r="G113" s="16">
        <v>19</v>
      </c>
      <c r="H113" s="17" t="s">
        <v>12</v>
      </c>
      <c r="I113" s="16">
        <v>4</v>
      </c>
    </row>
    <row r="114" ht="18.75" spans="1:9">
      <c r="A114" s="16">
        <v>113</v>
      </c>
      <c r="B114" s="16">
        <v>23</v>
      </c>
      <c r="C114" s="17" t="s">
        <v>13</v>
      </c>
      <c r="D114" s="17" t="s">
        <v>20</v>
      </c>
      <c r="E114" s="17" t="s">
        <v>21</v>
      </c>
      <c r="F114" s="16">
        <v>12660</v>
      </c>
      <c r="G114" s="16">
        <v>17</v>
      </c>
      <c r="H114" s="17" t="s">
        <v>12</v>
      </c>
      <c r="I114" s="16">
        <v>4</v>
      </c>
    </row>
    <row r="115" ht="18.75" spans="1:9">
      <c r="A115" s="16">
        <v>114</v>
      </c>
      <c r="B115" s="16">
        <v>50</v>
      </c>
      <c r="C115" s="17" t="s">
        <v>9</v>
      </c>
      <c r="D115" s="17" t="s">
        <v>14</v>
      </c>
      <c r="E115" s="17" t="s">
        <v>15</v>
      </c>
      <c r="F115" s="16">
        <v>4750</v>
      </c>
      <c r="G115" s="16">
        <v>3</v>
      </c>
      <c r="H115" s="17" t="s">
        <v>12</v>
      </c>
      <c r="I115" s="16">
        <v>1</v>
      </c>
    </row>
    <row r="116" ht="18.75" spans="1:9">
      <c r="A116" s="16">
        <v>115</v>
      </c>
      <c r="B116" s="16">
        <v>50</v>
      </c>
      <c r="C116" s="17" t="s">
        <v>9</v>
      </c>
      <c r="D116" s="17" t="s">
        <v>22</v>
      </c>
      <c r="E116" s="17" t="s">
        <v>21</v>
      </c>
      <c r="F116" s="16">
        <v>5240</v>
      </c>
      <c r="G116" s="16">
        <v>7</v>
      </c>
      <c r="H116" s="17" t="s">
        <v>12</v>
      </c>
      <c r="I116" s="16">
        <v>5</v>
      </c>
    </row>
    <row r="117" ht="18.75" spans="1:9">
      <c r="A117" s="16">
        <v>116</v>
      </c>
      <c r="B117" s="16">
        <v>38</v>
      </c>
      <c r="C117" s="17" t="s">
        <v>9</v>
      </c>
      <c r="D117" s="17" t="s">
        <v>22</v>
      </c>
      <c r="E117" s="17" t="s">
        <v>18</v>
      </c>
      <c r="F117" s="16">
        <v>17179</v>
      </c>
      <c r="G117" s="16">
        <v>13</v>
      </c>
      <c r="H117" s="17" t="s">
        <v>12</v>
      </c>
      <c r="I117" s="16">
        <v>2</v>
      </c>
    </row>
    <row r="118" ht="18.75" spans="1:9">
      <c r="A118" s="16">
        <v>117</v>
      </c>
      <c r="B118" s="16">
        <v>49</v>
      </c>
      <c r="C118" s="17" t="s">
        <v>9</v>
      </c>
      <c r="D118" s="17" t="s">
        <v>10</v>
      </c>
      <c r="E118" s="17" t="s">
        <v>19</v>
      </c>
      <c r="F118" s="16">
        <v>19407</v>
      </c>
      <c r="G118" s="16">
        <v>12</v>
      </c>
      <c r="H118" s="17" t="s">
        <v>16</v>
      </c>
      <c r="I118" s="16">
        <v>2</v>
      </c>
    </row>
    <row r="119" ht="18.75" spans="1:9">
      <c r="A119" s="16">
        <v>118</v>
      </c>
      <c r="B119" s="16">
        <v>53</v>
      </c>
      <c r="C119" s="17" t="s">
        <v>13</v>
      </c>
      <c r="D119" s="17" t="s">
        <v>14</v>
      </c>
      <c r="E119" s="17" t="s">
        <v>11</v>
      </c>
      <c r="F119" s="16">
        <v>3794</v>
      </c>
      <c r="G119" s="16">
        <v>6</v>
      </c>
      <c r="H119" s="17" t="s">
        <v>12</v>
      </c>
      <c r="I119" s="16">
        <v>1</v>
      </c>
    </row>
    <row r="120" ht="18.75" spans="1:9">
      <c r="A120" s="16">
        <v>119</v>
      </c>
      <c r="B120" s="16">
        <v>55</v>
      </c>
      <c r="C120" s="17" t="s">
        <v>9</v>
      </c>
      <c r="D120" s="17" t="s">
        <v>17</v>
      </c>
      <c r="E120" s="17" t="s">
        <v>11</v>
      </c>
      <c r="F120" s="16">
        <v>9279</v>
      </c>
      <c r="G120" s="16">
        <v>8</v>
      </c>
      <c r="H120" s="17" t="s">
        <v>12</v>
      </c>
      <c r="I120" s="16">
        <v>4</v>
      </c>
    </row>
    <row r="121" ht="18.75" spans="1:9">
      <c r="A121" s="16">
        <v>120</v>
      </c>
      <c r="B121" s="16">
        <v>36</v>
      </c>
      <c r="C121" s="17" t="s">
        <v>9</v>
      </c>
      <c r="D121" s="17" t="s">
        <v>10</v>
      </c>
      <c r="E121" s="17" t="s">
        <v>18</v>
      </c>
      <c r="F121" s="16">
        <v>17787</v>
      </c>
      <c r="G121" s="16">
        <v>19</v>
      </c>
      <c r="H121" s="17" t="s">
        <v>12</v>
      </c>
      <c r="I121" s="16">
        <v>4</v>
      </c>
    </row>
    <row r="122" ht="18.75" spans="1:9">
      <c r="A122" s="16">
        <v>121</v>
      </c>
      <c r="B122" s="16">
        <v>40</v>
      </c>
      <c r="C122" s="17" t="s">
        <v>9</v>
      </c>
      <c r="D122" s="17" t="s">
        <v>20</v>
      </c>
      <c r="E122" s="17" t="s">
        <v>15</v>
      </c>
      <c r="F122" s="16">
        <v>12381</v>
      </c>
      <c r="G122" s="16">
        <v>5</v>
      </c>
      <c r="H122" s="17" t="s">
        <v>12</v>
      </c>
      <c r="I122" s="16">
        <v>3</v>
      </c>
    </row>
    <row r="123" ht="18.75" spans="1:9">
      <c r="A123" s="16">
        <v>122</v>
      </c>
      <c r="B123" s="16">
        <v>59</v>
      </c>
      <c r="C123" s="17" t="s">
        <v>9</v>
      </c>
      <c r="D123" s="17" t="s">
        <v>22</v>
      </c>
      <c r="E123" s="17" t="s">
        <v>15</v>
      </c>
      <c r="F123" s="16">
        <v>14657</v>
      </c>
      <c r="G123" s="16">
        <v>4</v>
      </c>
      <c r="H123" s="17" t="s">
        <v>12</v>
      </c>
      <c r="I123" s="16">
        <v>3</v>
      </c>
    </row>
    <row r="124" ht="18.75" spans="1:9">
      <c r="A124" s="16">
        <v>123</v>
      </c>
      <c r="B124" s="16">
        <v>34</v>
      </c>
      <c r="C124" s="17" t="s">
        <v>13</v>
      </c>
      <c r="D124" s="17" t="s">
        <v>10</v>
      </c>
      <c r="E124" s="17" t="s">
        <v>21</v>
      </c>
      <c r="F124" s="16">
        <v>9157</v>
      </c>
      <c r="G124" s="16">
        <v>3</v>
      </c>
      <c r="H124" s="17" t="s">
        <v>16</v>
      </c>
      <c r="I124" s="16">
        <v>3</v>
      </c>
    </row>
    <row r="125" ht="18.75" spans="1:9">
      <c r="A125" s="16">
        <v>124</v>
      </c>
      <c r="B125" s="16">
        <v>54</v>
      </c>
      <c r="C125" s="17" t="s">
        <v>9</v>
      </c>
      <c r="D125" s="17" t="s">
        <v>17</v>
      </c>
      <c r="E125" s="17" t="s">
        <v>18</v>
      </c>
      <c r="F125" s="16">
        <v>13252</v>
      </c>
      <c r="G125" s="16">
        <v>17</v>
      </c>
      <c r="H125" s="17" t="s">
        <v>12</v>
      </c>
      <c r="I125" s="16">
        <v>4</v>
      </c>
    </row>
    <row r="126" ht="18.75" spans="1:9">
      <c r="A126" s="16">
        <v>125</v>
      </c>
      <c r="B126" s="16">
        <v>32</v>
      </c>
      <c r="C126" s="17" t="s">
        <v>9</v>
      </c>
      <c r="D126" s="17" t="s">
        <v>17</v>
      </c>
      <c r="E126" s="17" t="s">
        <v>21</v>
      </c>
      <c r="F126" s="16">
        <v>16805</v>
      </c>
      <c r="G126" s="16">
        <v>2</v>
      </c>
      <c r="H126" s="17" t="s">
        <v>16</v>
      </c>
      <c r="I126" s="16">
        <v>3</v>
      </c>
    </row>
    <row r="127" ht="18.75" spans="1:9">
      <c r="A127" s="16">
        <v>126</v>
      </c>
      <c r="B127" s="16">
        <v>45</v>
      </c>
      <c r="C127" s="17" t="s">
        <v>13</v>
      </c>
      <c r="D127" s="17" t="s">
        <v>22</v>
      </c>
      <c r="E127" s="17" t="s">
        <v>19</v>
      </c>
      <c r="F127" s="16">
        <v>13894</v>
      </c>
      <c r="G127" s="16">
        <v>15</v>
      </c>
      <c r="H127" s="17" t="s">
        <v>12</v>
      </c>
      <c r="I127" s="16">
        <v>2</v>
      </c>
    </row>
    <row r="128" ht="18.75" spans="1:9">
      <c r="A128" s="16">
        <v>127</v>
      </c>
      <c r="B128" s="16">
        <v>45</v>
      </c>
      <c r="C128" s="17" t="s">
        <v>13</v>
      </c>
      <c r="D128" s="17" t="s">
        <v>17</v>
      </c>
      <c r="E128" s="17" t="s">
        <v>18</v>
      </c>
      <c r="F128" s="16">
        <v>17942</v>
      </c>
      <c r="G128" s="16">
        <v>8</v>
      </c>
      <c r="H128" s="17" t="s">
        <v>12</v>
      </c>
      <c r="I128" s="16">
        <v>4</v>
      </c>
    </row>
    <row r="129" ht="18.75" spans="1:9">
      <c r="A129" s="16">
        <v>128</v>
      </c>
      <c r="B129" s="16">
        <v>48</v>
      </c>
      <c r="C129" s="17" t="s">
        <v>9</v>
      </c>
      <c r="D129" s="17" t="s">
        <v>10</v>
      </c>
      <c r="E129" s="17" t="s">
        <v>19</v>
      </c>
      <c r="F129" s="16">
        <v>4769</v>
      </c>
      <c r="G129" s="16">
        <v>11</v>
      </c>
      <c r="H129" s="17" t="s">
        <v>12</v>
      </c>
      <c r="I129" s="16">
        <v>4</v>
      </c>
    </row>
    <row r="130" ht="18.75" spans="1:9">
      <c r="A130" s="16">
        <v>129</v>
      </c>
      <c r="B130" s="16">
        <v>24</v>
      </c>
      <c r="C130" s="17" t="s">
        <v>13</v>
      </c>
      <c r="D130" s="17" t="s">
        <v>17</v>
      </c>
      <c r="E130" s="17" t="s">
        <v>11</v>
      </c>
      <c r="F130" s="16">
        <v>18304</v>
      </c>
      <c r="G130" s="16">
        <v>13</v>
      </c>
      <c r="H130" s="17" t="s">
        <v>12</v>
      </c>
      <c r="I130" s="16">
        <v>1</v>
      </c>
    </row>
    <row r="131" ht="18.75" spans="1:9">
      <c r="A131" s="16">
        <v>130</v>
      </c>
      <c r="B131" s="16">
        <v>25</v>
      </c>
      <c r="C131" s="17" t="s">
        <v>9</v>
      </c>
      <c r="D131" s="17" t="s">
        <v>17</v>
      </c>
      <c r="E131" s="17" t="s">
        <v>18</v>
      </c>
      <c r="F131" s="16">
        <v>13714</v>
      </c>
      <c r="G131" s="16">
        <v>2</v>
      </c>
      <c r="H131" s="17" t="s">
        <v>12</v>
      </c>
      <c r="I131" s="16">
        <v>5</v>
      </c>
    </row>
    <row r="132" ht="18.75" spans="1:9">
      <c r="A132" s="16">
        <v>131</v>
      </c>
      <c r="B132" s="16">
        <v>38</v>
      </c>
      <c r="C132" s="17" t="s">
        <v>9</v>
      </c>
      <c r="D132" s="17" t="s">
        <v>14</v>
      </c>
      <c r="E132" s="17" t="s">
        <v>21</v>
      </c>
      <c r="F132" s="16">
        <v>9845</v>
      </c>
      <c r="G132" s="16">
        <v>16</v>
      </c>
      <c r="H132" s="17" t="s">
        <v>12</v>
      </c>
      <c r="I132" s="16">
        <v>3</v>
      </c>
    </row>
    <row r="133" ht="18.75" spans="1:9">
      <c r="A133" s="16">
        <v>132</v>
      </c>
      <c r="B133" s="16">
        <v>46</v>
      </c>
      <c r="C133" s="17" t="s">
        <v>9</v>
      </c>
      <c r="D133" s="17" t="s">
        <v>20</v>
      </c>
      <c r="E133" s="17" t="s">
        <v>18</v>
      </c>
      <c r="F133" s="16">
        <v>7752</v>
      </c>
      <c r="G133" s="16">
        <v>17</v>
      </c>
      <c r="H133" s="17" t="s">
        <v>12</v>
      </c>
      <c r="I133" s="16">
        <v>3</v>
      </c>
    </row>
    <row r="134" ht="18.75" spans="1:9">
      <c r="A134" s="16">
        <v>133</v>
      </c>
      <c r="B134" s="16">
        <v>50</v>
      </c>
      <c r="C134" s="17" t="s">
        <v>9</v>
      </c>
      <c r="D134" s="17" t="s">
        <v>22</v>
      </c>
      <c r="E134" s="17" t="s">
        <v>18</v>
      </c>
      <c r="F134" s="16">
        <v>12024</v>
      </c>
      <c r="G134" s="16">
        <v>12</v>
      </c>
      <c r="H134" s="17" t="s">
        <v>12</v>
      </c>
      <c r="I134" s="16">
        <v>2</v>
      </c>
    </row>
    <row r="135" ht="18.75" spans="1:9">
      <c r="A135" s="16">
        <v>134</v>
      </c>
      <c r="B135" s="16">
        <v>41</v>
      </c>
      <c r="C135" s="17" t="s">
        <v>9</v>
      </c>
      <c r="D135" s="17" t="s">
        <v>14</v>
      </c>
      <c r="E135" s="17" t="s">
        <v>19</v>
      </c>
      <c r="F135" s="16">
        <v>10358</v>
      </c>
      <c r="G135" s="16">
        <v>12</v>
      </c>
      <c r="H135" s="17" t="s">
        <v>12</v>
      </c>
      <c r="I135" s="16">
        <v>4</v>
      </c>
    </row>
    <row r="136" ht="18.75" spans="1:9">
      <c r="A136" s="16">
        <v>135</v>
      </c>
      <c r="B136" s="16">
        <v>35</v>
      </c>
      <c r="C136" s="17" t="s">
        <v>13</v>
      </c>
      <c r="D136" s="17" t="s">
        <v>20</v>
      </c>
      <c r="E136" s="17" t="s">
        <v>15</v>
      </c>
      <c r="F136" s="16">
        <v>5951</v>
      </c>
      <c r="G136" s="16">
        <v>16</v>
      </c>
      <c r="H136" s="17" t="s">
        <v>12</v>
      </c>
      <c r="I136" s="16">
        <v>5</v>
      </c>
    </row>
    <row r="137" ht="18.75" spans="1:9">
      <c r="A137" s="16">
        <v>136</v>
      </c>
      <c r="B137" s="16">
        <v>41</v>
      </c>
      <c r="C137" s="17" t="s">
        <v>9</v>
      </c>
      <c r="D137" s="17" t="s">
        <v>17</v>
      </c>
      <c r="E137" s="17" t="s">
        <v>15</v>
      </c>
      <c r="F137" s="16">
        <v>15100</v>
      </c>
      <c r="G137" s="16">
        <v>8</v>
      </c>
      <c r="H137" s="17" t="s">
        <v>16</v>
      </c>
      <c r="I137" s="16">
        <v>4</v>
      </c>
    </row>
    <row r="138" ht="18.75" spans="1:9">
      <c r="A138" s="16">
        <v>137</v>
      </c>
      <c r="B138" s="16">
        <v>37</v>
      </c>
      <c r="C138" s="17" t="s">
        <v>9</v>
      </c>
      <c r="D138" s="17" t="s">
        <v>14</v>
      </c>
      <c r="E138" s="17" t="s">
        <v>15</v>
      </c>
      <c r="F138" s="16">
        <v>3610</v>
      </c>
      <c r="G138" s="16">
        <v>8</v>
      </c>
      <c r="H138" s="17" t="s">
        <v>12</v>
      </c>
      <c r="I138" s="16">
        <v>5</v>
      </c>
    </row>
    <row r="139" ht="18.75" spans="1:9">
      <c r="A139" s="16">
        <v>138</v>
      </c>
      <c r="B139" s="16">
        <v>48</v>
      </c>
      <c r="C139" s="17" t="s">
        <v>13</v>
      </c>
      <c r="D139" s="17" t="s">
        <v>20</v>
      </c>
      <c r="E139" s="17" t="s">
        <v>19</v>
      </c>
      <c r="F139" s="16">
        <v>7639</v>
      </c>
      <c r="G139" s="16">
        <v>18</v>
      </c>
      <c r="H139" s="17" t="s">
        <v>12</v>
      </c>
      <c r="I139" s="16">
        <v>1</v>
      </c>
    </row>
    <row r="140" ht="18.75" spans="1:9">
      <c r="A140" s="16">
        <v>139</v>
      </c>
      <c r="B140" s="16">
        <v>32</v>
      </c>
      <c r="C140" s="17" t="s">
        <v>13</v>
      </c>
      <c r="D140" s="17" t="s">
        <v>22</v>
      </c>
      <c r="E140" s="17" t="s">
        <v>21</v>
      </c>
      <c r="F140" s="16">
        <v>3010</v>
      </c>
      <c r="G140" s="16">
        <v>9</v>
      </c>
      <c r="H140" s="17" t="s">
        <v>12</v>
      </c>
      <c r="I140" s="16">
        <v>1</v>
      </c>
    </row>
    <row r="141" ht="18.75" spans="1:9">
      <c r="A141" s="16">
        <v>140</v>
      </c>
      <c r="B141" s="16">
        <v>28</v>
      </c>
      <c r="C141" s="17" t="s">
        <v>13</v>
      </c>
      <c r="D141" s="17" t="s">
        <v>14</v>
      </c>
      <c r="E141" s="17" t="s">
        <v>15</v>
      </c>
      <c r="F141" s="16">
        <v>10030</v>
      </c>
      <c r="G141" s="16">
        <v>9</v>
      </c>
      <c r="H141" s="17" t="s">
        <v>12</v>
      </c>
      <c r="I141" s="16">
        <v>4</v>
      </c>
    </row>
    <row r="142" ht="18.75" spans="1:9">
      <c r="A142" s="16">
        <v>141</v>
      </c>
      <c r="B142" s="16">
        <v>46</v>
      </c>
      <c r="C142" s="17" t="s">
        <v>13</v>
      </c>
      <c r="D142" s="17" t="s">
        <v>17</v>
      </c>
      <c r="E142" s="17" t="s">
        <v>15</v>
      </c>
      <c r="F142" s="16">
        <v>3933</v>
      </c>
      <c r="G142" s="16">
        <v>5</v>
      </c>
      <c r="H142" s="17" t="s">
        <v>16</v>
      </c>
      <c r="I142" s="16">
        <v>2</v>
      </c>
    </row>
    <row r="143" ht="18.75" spans="1:9">
      <c r="A143" s="16">
        <v>142</v>
      </c>
      <c r="B143" s="16">
        <v>45</v>
      </c>
      <c r="C143" s="17" t="s">
        <v>9</v>
      </c>
      <c r="D143" s="17" t="s">
        <v>10</v>
      </c>
      <c r="E143" s="17" t="s">
        <v>18</v>
      </c>
      <c r="F143" s="16">
        <v>9304</v>
      </c>
      <c r="G143" s="16">
        <v>4</v>
      </c>
      <c r="H143" s="17" t="s">
        <v>12</v>
      </c>
      <c r="I143" s="16">
        <v>1</v>
      </c>
    </row>
    <row r="144" ht="18.75" spans="1:9">
      <c r="A144" s="16">
        <v>143</v>
      </c>
      <c r="B144" s="16">
        <v>31</v>
      </c>
      <c r="C144" s="17" t="s">
        <v>9</v>
      </c>
      <c r="D144" s="17" t="s">
        <v>20</v>
      </c>
      <c r="E144" s="17" t="s">
        <v>11</v>
      </c>
      <c r="F144" s="16">
        <v>8570</v>
      </c>
      <c r="G144" s="16">
        <v>10</v>
      </c>
      <c r="H144" s="17" t="s">
        <v>12</v>
      </c>
      <c r="I144" s="16">
        <v>2</v>
      </c>
    </row>
    <row r="145" ht="18.75" spans="1:9">
      <c r="A145" s="16">
        <v>144</v>
      </c>
      <c r="B145" s="16">
        <v>39</v>
      </c>
      <c r="C145" s="17" t="s">
        <v>9</v>
      </c>
      <c r="D145" s="17" t="s">
        <v>22</v>
      </c>
      <c r="E145" s="17" t="s">
        <v>21</v>
      </c>
      <c r="F145" s="16">
        <v>4299</v>
      </c>
      <c r="G145" s="16">
        <v>13</v>
      </c>
      <c r="H145" s="17" t="s">
        <v>12</v>
      </c>
      <c r="I145" s="16">
        <v>2</v>
      </c>
    </row>
    <row r="146" ht="18.75" spans="1:9">
      <c r="A146" s="16">
        <v>145</v>
      </c>
      <c r="B146" s="16">
        <v>25</v>
      </c>
      <c r="C146" s="17" t="s">
        <v>9</v>
      </c>
      <c r="D146" s="17" t="s">
        <v>10</v>
      </c>
      <c r="E146" s="17" t="s">
        <v>15</v>
      </c>
      <c r="F146" s="16">
        <v>5042</v>
      </c>
      <c r="G146" s="16">
        <v>7</v>
      </c>
      <c r="H146" s="17" t="s">
        <v>16</v>
      </c>
      <c r="I146" s="16">
        <v>1</v>
      </c>
    </row>
    <row r="147" ht="18.75" spans="1:9">
      <c r="A147" s="16">
        <v>146</v>
      </c>
      <c r="B147" s="16">
        <v>27</v>
      </c>
      <c r="C147" s="17" t="s">
        <v>9</v>
      </c>
      <c r="D147" s="17" t="s">
        <v>14</v>
      </c>
      <c r="E147" s="17" t="s">
        <v>11</v>
      </c>
      <c r="F147" s="16">
        <v>3467</v>
      </c>
      <c r="G147" s="16">
        <v>5</v>
      </c>
      <c r="H147" s="17" t="s">
        <v>16</v>
      </c>
      <c r="I147" s="16">
        <v>1</v>
      </c>
    </row>
    <row r="148" ht="18.75" spans="1:9">
      <c r="A148" s="16">
        <v>147</v>
      </c>
      <c r="B148" s="16">
        <v>49</v>
      </c>
      <c r="C148" s="17" t="s">
        <v>9</v>
      </c>
      <c r="D148" s="17" t="s">
        <v>14</v>
      </c>
      <c r="E148" s="17" t="s">
        <v>11</v>
      </c>
      <c r="F148" s="16">
        <v>8415</v>
      </c>
      <c r="G148" s="16">
        <v>0</v>
      </c>
      <c r="H148" s="17" t="s">
        <v>12</v>
      </c>
      <c r="I148" s="16">
        <v>5</v>
      </c>
    </row>
    <row r="149" ht="18.75" spans="1:9">
      <c r="A149" s="16">
        <v>148</v>
      </c>
      <c r="B149" s="16">
        <v>26</v>
      </c>
      <c r="C149" s="17" t="s">
        <v>13</v>
      </c>
      <c r="D149" s="17" t="s">
        <v>20</v>
      </c>
      <c r="E149" s="17" t="s">
        <v>19</v>
      </c>
      <c r="F149" s="16">
        <v>7924</v>
      </c>
      <c r="G149" s="16">
        <v>16</v>
      </c>
      <c r="H149" s="17" t="s">
        <v>12</v>
      </c>
      <c r="I149" s="16">
        <v>5</v>
      </c>
    </row>
    <row r="150" ht="18.75" spans="1:9">
      <c r="A150" s="16">
        <v>149</v>
      </c>
      <c r="B150" s="16">
        <v>60</v>
      </c>
      <c r="C150" s="17" t="s">
        <v>9</v>
      </c>
      <c r="D150" s="17" t="s">
        <v>14</v>
      </c>
      <c r="E150" s="17" t="s">
        <v>11</v>
      </c>
      <c r="F150" s="16">
        <v>19232</v>
      </c>
      <c r="G150" s="16">
        <v>17</v>
      </c>
      <c r="H150" s="17" t="s">
        <v>12</v>
      </c>
      <c r="I150" s="16">
        <v>1</v>
      </c>
    </row>
    <row r="151" ht="18.75" spans="1:9">
      <c r="A151" s="16">
        <v>150</v>
      </c>
      <c r="B151" s="16">
        <v>59</v>
      </c>
      <c r="C151" s="17" t="s">
        <v>9</v>
      </c>
      <c r="D151" s="17" t="s">
        <v>22</v>
      </c>
      <c r="E151" s="17" t="s">
        <v>11</v>
      </c>
      <c r="F151" s="16">
        <v>3198</v>
      </c>
      <c r="G151" s="16">
        <v>14</v>
      </c>
      <c r="H151" s="17" t="s">
        <v>12</v>
      </c>
      <c r="I151" s="16">
        <v>5</v>
      </c>
    </row>
    <row r="152" ht="18.75" spans="1:9">
      <c r="A152" s="16">
        <v>151</v>
      </c>
      <c r="B152" s="16">
        <v>57</v>
      </c>
      <c r="C152" s="17" t="s">
        <v>13</v>
      </c>
      <c r="D152" s="17" t="s">
        <v>14</v>
      </c>
      <c r="E152" s="17" t="s">
        <v>21</v>
      </c>
      <c r="F152" s="16">
        <v>4972</v>
      </c>
      <c r="G152" s="16">
        <v>18</v>
      </c>
      <c r="H152" s="17" t="s">
        <v>12</v>
      </c>
      <c r="I152" s="16">
        <v>2</v>
      </c>
    </row>
    <row r="153" ht="18.75" spans="1:9">
      <c r="A153" s="16">
        <v>152</v>
      </c>
      <c r="B153" s="16">
        <v>42</v>
      </c>
      <c r="C153" s="17" t="s">
        <v>13</v>
      </c>
      <c r="D153" s="17" t="s">
        <v>22</v>
      </c>
      <c r="E153" s="17" t="s">
        <v>19</v>
      </c>
      <c r="F153" s="16">
        <v>15679</v>
      </c>
      <c r="G153" s="16">
        <v>2</v>
      </c>
      <c r="H153" s="17" t="s">
        <v>12</v>
      </c>
      <c r="I153" s="16">
        <v>1</v>
      </c>
    </row>
    <row r="154" ht="18.75" spans="1:9">
      <c r="A154" s="16">
        <v>153</v>
      </c>
      <c r="B154" s="16">
        <v>55</v>
      </c>
      <c r="C154" s="17" t="s">
        <v>13</v>
      </c>
      <c r="D154" s="17" t="s">
        <v>22</v>
      </c>
      <c r="E154" s="17" t="s">
        <v>21</v>
      </c>
      <c r="F154" s="16">
        <v>13897</v>
      </c>
      <c r="G154" s="16">
        <v>14</v>
      </c>
      <c r="H154" s="17" t="s">
        <v>12</v>
      </c>
      <c r="I154" s="16">
        <v>1</v>
      </c>
    </row>
    <row r="155" ht="18.75" spans="1:9">
      <c r="A155" s="16">
        <v>154</v>
      </c>
      <c r="B155" s="16">
        <v>50</v>
      </c>
      <c r="C155" s="17" t="s">
        <v>13</v>
      </c>
      <c r="D155" s="17" t="s">
        <v>20</v>
      </c>
      <c r="E155" s="17" t="s">
        <v>18</v>
      </c>
      <c r="F155" s="16">
        <v>8035</v>
      </c>
      <c r="G155" s="16">
        <v>20</v>
      </c>
      <c r="H155" s="17" t="s">
        <v>12</v>
      </c>
      <c r="I155" s="16">
        <v>4</v>
      </c>
    </row>
    <row r="156" ht="18.75" spans="1:9">
      <c r="A156" s="16">
        <v>155</v>
      </c>
      <c r="B156" s="16">
        <v>55</v>
      </c>
      <c r="C156" s="17" t="s">
        <v>13</v>
      </c>
      <c r="D156" s="17" t="s">
        <v>17</v>
      </c>
      <c r="E156" s="17" t="s">
        <v>15</v>
      </c>
      <c r="F156" s="16">
        <v>18671</v>
      </c>
      <c r="G156" s="16">
        <v>20</v>
      </c>
      <c r="H156" s="17" t="s">
        <v>16</v>
      </c>
      <c r="I156" s="16">
        <v>2</v>
      </c>
    </row>
    <row r="157" ht="18.75" spans="1:9">
      <c r="A157" s="16">
        <v>156</v>
      </c>
      <c r="B157" s="16">
        <v>39</v>
      </c>
      <c r="C157" s="17" t="s">
        <v>13</v>
      </c>
      <c r="D157" s="17" t="s">
        <v>10</v>
      </c>
      <c r="E157" s="17" t="s">
        <v>19</v>
      </c>
      <c r="F157" s="16">
        <v>8453</v>
      </c>
      <c r="G157" s="16">
        <v>12</v>
      </c>
      <c r="H157" s="17" t="s">
        <v>16</v>
      </c>
      <c r="I157" s="16">
        <v>3</v>
      </c>
    </row>
    <row r="158" ht="18.75" spans="1:9">
      <c r="A158" s="16">
        <v>157</v>
      </c>
      <c r="B158" s="16">
        <v>58</v>
      </c>
      <c r="C158" s="17" t="s">
        <v>9</v>
      </c>
      <c r="D158" s="17" t="s">
        <v>22</v>
      </c>
      <c r="E158" s="17" t="s">
        <v>15</v>
      </c>
      <c r="F158" s="16">
        <v>9731</v>
      </c>
      <c r="G158" s="16">
        <v>16</v>
      </c>
      <c r="H158" s="17" t="s">
        <v>12</v>
      </c>
      <c r="I158" s="16">
        <v>2</v>
      </c>
    </row>
    <row r="159" ht="18.75" spans="1:9">
      <c r="A159" s="16">
        <v>158</v>
      </c>
      <c r="B159" s="16">
        <v>24</v>
      </c>
      <c r="C159" s="17" t="s">
        <v>9</v>
      </c>
      <c r="D159" s="17" t="s">
        <v>22</v>
      </c>
      <c r="E159" s="17" t="s">
        <v>15</v>
      </c>
      <c r="F159" s="16">
        <v>7424</v>
      </c>
      <c r="G159" s="16">
        <v>9</v>
      </c>
      <c r="H159" s="17" t="s">
        <v>12</v>
      </c>
      <c r="I159" s="16">
        <v>5</v>
      </c>
    </row>
    <row r="160" ht="18.75" spans="1:9">
      <c r="A160" s="16">
        <v>159</v>
      </c>
      <c r="B160" s="16">
        <v>23</v>
      </c>
      <c r="C160" s="17" t="s">
        <v>13</v>
      </c>
      <c r="D160" s="17" t="s">
        <v>14</v>
      </c>
      <c r="E160" s="17" t="s">
        <v>21</v>
      </c>
      <c r="F160" s="16">
        <v>4410</v>
      </c>
      <c r="G160" s="16">
        <v>11</v>
      </c>
      <c r="H160" s="17" t="s">
        <v>16</v>
      </c>
      <c r="I160" s="16">
        <v>4</v>
      </c>
    </row>
    <row r="161" ht="18.75" spans="1:9">
      <c r="A161" s="16">
        <v>160</v>
      </c>
      <c r="B161" s="16">
        <v>36</v>
      </c>
      <c r="C161" s="17" t="s">
        <v>13</v>
      </c>
      <c r="D161" s="17" t="s">
        <v>20</v>
      </c>
      <c r="E161" s="17" t="s">
        <v>11</v>
      </c>
      <c r="F161" s="16">
        <v>15405</v>
      </c>
      <c r="G161" s="16">
        <v>15</v>
      </c>
      <c r="H161" s="17" t="s">
        <v>12</v>
      </c>
      <c r="I161" s="16">
        <v>4</v>
      </c>
    </row>
    <row r="162" ht="18.75" spans="1:9">
      <c r="A162" s="16">
        <v>161</v>
      </c>
      <c r="B162" s="16">
        <v>57</v>
      </c>
      <c r="C162" s="17" t="s">
        <v>13</v>
      </c>
      <c r="D162" s="17" t="s">
        <v>20</v>
      </c>
      <c r="E162" s="17" t="s">
        <v>11</v>
      </c>
      <c r="F162" s="16">
        <v>13547</v>
      </c>
      <c r="G162" s="16">
        <v>5</v>
      </c>
      <c r="H162" s="17" t="s">
        <v>12</v>
      </c>
      <c r="I162" s="16">
        <v>5</v>
      </c>
    </row>
    <row r="163" ht="18.75" spans="1:9">
      <c r="A163" s="16">
        <v>162</v>
      </c>
      <c r="B163" s="16">
        <v>50</v>
      </c>
      <c r="C163" s="17" t="s">
        <v>9</v>
      </c>
      <c r="D163" s="17" t="s">
        <v>22</v>
      </c>
      <c r="E163" s="17" t="s">
        <v>11</v>
      </c>
      <c r="F163" s="16">
        <v>6341</v>
      </c>
      <c r="G163" s="16">
        <v>7</v>
      </c>
      <c r="H163" s="17" t="s">
        <v>12</v>
      </c>
      <c r="I163" s="16">
        <v>4</v>
      </c>
    </row>
    <row r="164" ht="18.75" spans="1:9">
      <c r="A164" s="16">
        <v>163</v>
      </c>
      <c r="B164" s="16">
        <v>43</v>
      </c>
      <c r="C164" s="17" t="s">
        <v>9</v>
      </c>
      <c r="D164" s="17" t="s">
        <v>17</v>
      </c>
      <c r="E164" s="17" t="s">
        <v>15</v>
      </c>
      <c r="F164" s="16">
        <v>17754</v>
      </c>
      <c r="G164" s="16">
        <v>5</v>
      </c>
      <c r="H164" s="17" t="s">
        <v>12</v>
      </c>
      <c r="I164" s="16">
        <v>1</v>
      </c>
    </row>
    <row r="165" ht="18.75" spans="1:9">
      <c r="A165" s="16">
        <v>164</v>
      </c>
      <c r="B165" s="16">
        <v>46</v>
      </c>
      <c r="C165" s="17" t="s">
        <v>9</v>
      </c>
      <c r="D165" s="17" t="s">
        <v>17</v>
      </c>
      <c r="E165" s="17" t="s">
        <v>21</v>
      </c>
      <c r="F165" s="16">
        <v>17708</v>
      </c>
      <c r="G165" s="16">
        <v>17</v>
      </c>
      <c r="H165" s="17" t="s">
        <v>16</v>
      </c>
      <c r="I165" s="16">
        <v>4</v>
      </c>
    </row>
    <row r="166" ht="18.75" spans="1:9">
      <c r="A166" s="16">
        <v>165</v>
      </c>
      <c r="B166" s="16">
        <v>47</v>
      </c>
      <c r="C166" s="17" t="s">
        <v>13</v>
      </c>
      <c r="D166" s="17" t="s">
        <v>22</v>
      </c>
      <c r="E166" s="17" t="s">
        <v>21</v>
      </c>
      <c r="F166" s="16">
        <v>5590</v>
      </c>
      <c r="G166" s="16">
        <v>18</v>
      </c>
      <c r="H166" s="17" t="s">
        <v>16</v>
      </c>
      <c r="I166" s="16">
        <v>2</v>
      </c>
    </row>
    <row r="167" ht="18.75" spans="1:9">
      <c r="A167" s="16">
        <v>166</v>
      </c>
      <c r="B167" s="16">
        <v>39</v>
      </c>
      <c r="C167" s="17" t="s">
        <v>9</v>
      </c>
      <c r="D167" s="17" t="s">
        <v>14</v>
      </c>
      <c r="E167" s="17" t="s">
        <v>19</v>
      </c>
      <c r="F167" s="16">
        <v>17535</v>
      </c>
      <c r="G167" s="16">
        <v>6</v>
      </c>
      <c r="H167" s="17" t="s">
        <v>12</v>
      </c>
      <c r="I167" s="16">
        <v>2</v>
      </c>
    </row>
    <row r="168" ht="18.75" spans="1:9">
      <c r="A168" s="16">
        <v>167</v>
      </c>
      <c r="B168" s="16">
        <v>22</v>
      </c>
      <c r="C168" s="17" t="s">
        <v>9</v>
      </c>
      <c r="D168" s="17" t="s">
        <v>20</v>
      </c>
      <c r="E168" s="17" t="s">
        <v>21</v>
      </c>
      <c r="F168" s="16">
        <v>19348</v>
      </c>
      <c r="G168" s="16">
        <v>15</v>
      </c>
      <c r="H168" s="17" t="s">
        <v>12</v>
      </c>
      <c r="I168" s="16">
        <v>5</v>
      </c>
    </row>
    <row r="169" ht="18.75" spans="1:9">
      <c r="A169" s="16">
        <v>168</v>
      </c>
      <c r="B169" s="16">
        <v>40</v>
      </c>
      <c r="C169" s="17" t="s">
        <v>9</v>
      </c>
      <c r="D169" s="17" t="s">
        <v>17</v>
      </c>
      <c r="E169" s="17" t="s">
        <v>21</v>
      </c>
      <c r="F169" s="16">
        <v>19255</v>
      </c>
      <c r="G169" s="16">
        <v>9</v>
      </c>
      <c r="H169" s="17" t="s">
        <v>12</v>
      </c>
      <c r="I169" s="16">
        <v>3</v>
      </c>
    </row>
    <row r="170" ht="18.75" spans="1:9">
      <c r="A170" s="16">
        <v>169</v>
      </c>
      <c r="B170" s="16">
        <v>30</v>
      </c>
      <c r="C170" s="17" t="s">
        <v>9</v>
      </c>
      <c r="D170" s="17" t="s">
        <v>17</v>
      </c>
      <c r="E170" s="17" t="s">
        <v>15</v>
      </c>
      <c r="F170" s="16">
        <v>11603</v>
      </c>
      <c r="G170" s="16">
        <v>13</v>
      </c>
      <c r="H170" s="17" t="s">
        <v>12</v>
      </c>
      <c r="I170" s="16">
        <v>1</v>
      </c>
    </row>
    <row r="171" ht="18.75" spans="1:9">
      <c r="A171" s="16">
        <v>170</v>
      </c>
      <c r="B171" s="16">
        <v>54</v>
      </c>
      <c r="C171" s="17" t="s">
        <v>13</v>
      </c>
      <c r="D171" s="17" t="s">
        <v>22</v>
      </c>
      <c r="E171" s="17" t="s">
        <v>18</v>
      </c>
      <c r="F171" s="16">
        <v>6245</v>
      </c>
      <c r="G171" s="16">
        <v>16</v>
      </c>
      <c r="H171" s="17" t="s">
        <v>16</v>
      </c>
      <c r="I171" s="16">
        <v>1</v>
      </c>
    </row>
    <row r="172" ht="18.75" spans="1:9">
      <c r="A172" s="16">
        <v>171</v>
      </c>
      <c r="B172" s="16">
        <v>52</v>
      </c>
      <c r="C172" s="17" t="s">
        <v>9</v>
      </c>
      <c r="D172" s="17" t="s">
        <v>20</v>
      </c>
      <c r="E172" s="17" t="s">
        <v>15</v>
      </c>
      <c r="F172" s="16">
        <v>7054</v>
      </c>
      <c r="G172" s="16">
        <v>10</v>
      </c>
      <c r="H172" s="17" t="s">
        <v>16</v>
      </c>
      <c r="I172" s="16">
        <v>5</v>
      </c>
    </row>
    <row r="173" ht="18.75" spans="1:9">
      <c r="A173" s="16">
        <v>172</v>
      </c>
      <c r="B173" s="16">
        <v>60</v>
      </c>
      <c r="C173" s="17" t="s">
        <v>13</v>
      </c>
      <c r="D173" s="17" t="s">
        <v>22</v>
      </c>
      <c r="E173" s="17" t="s">
        <v>15</v>
      </c>
      <c r="F173" s="16">
        <v>14424</v>
      </c>
      <c r="G173" s="16">
        <v>17</v>
      </c>
      <c r="H173" s="17" t="s">
        <v>12</v>
      </c>
      <c r="I173" s="16">
        <v>4</v>
      </c>
    </row>
    <row r="174" ht="18.75" spans="1:9">
      <c r="A174" s="16">
        <v>173</v>
      </c>
      <c r="B174" s="16">
        <v>36</v>
      </c>
      <c r="C174" s="17" t="s">
        <v>13</v>
      </c>
      <c r="D174" s="17" t="s">
        <v>14</v>
      </c>
      <c r="E174" s="17" t="s">
        <v>18</v>
      </c>
      <c r="F174" s="16">
        <v>16514</v>
      </c>
      <c r="G174" s="16">
        <v>1</v>
      </c>
      <c r="H174" s="17" t="s">
        <v>12</v>
      </c>
      <c r="I174" s="16">
        <v>3</v>
      </c>
    </row>
    <row r="175" ht="18.75" spans="1:9">
      <c r="A175" s="16">
        <v>174</v>
      </c>
      <c r="B175" s="16">
        <v>48</v>
      </c>
      <c r="C175" s="17" t="s">
        <v>9</v>
      </c>
      <c r="D175" s="17" t="s">
        <v>22</v>
      </c>
      <c r="E175" s="17" t="s">
        <v>21</v>
      </c>
      <c r="F175" s="16">
        <v>18106</v>
      </c>
      <c r="G175" s="16">
        <v>5</v>
      </c>
      <c r="H175" s="17" t="s">
        <v>12</v>
      </c>
      <c r="I175" s="16">
        <v>2</v>
      </c>
    </row>
    <row r="176" ht="18.75" spans="1:9">
      <c r="A176" s="16">
        <v>175</v>
      </c>
      <c r="B176" s="16">
        <v>47</v>
      </c>
      <c r="C176" s="17" t="s">
        <v>13</v>
      </c>
      <c r="D176" s="17" t="s">
        <v>20</v>
      </c>
      <c r="E176" s="17" t="s">
        <v>19</v>
      </c>
      <c r="F176" s="16">
        <v>5952</v>
      </c>
      <c r="G176" s="16">
        <v>6</v>
      </c>
      <c r="H176" s="17" t="s">
        <v>12</v>
      </c>
      <c r="I176" s="16">
        <v>3</v>
      </c>
    </row>
    <row r="177" ht="18.75" spans="1:9">
      <c r="A177" s="16">
        <v>176</v>
      </c>
      <c r="B177" s="16">
        <v>51</v>
      </c>
      <c r="C177" s="17" t="s">
        <v>13</v>
      </c>
      <c r="D177" s="17" t="s">
        <v>17</v>
      </c>
      <c r="E177" s="17" t="s">
        <v>11</v>
      </c>
      <c r="F177" s="16">
        <v>11072</v>
      </c>
      <c r="G177" s="16">
        <v>7</v>
      </c>
      <c r="H177" s="17" t="s">
        <v>12</v>
      </c>
      <c r="I177" s="16">
        <v>5</v>
      </c>
    </row>
    <row r="178" ht="18.75" spans="1:9">
      <c r="A178" s="16">
        <v>177</v>
      </c>
      <c r="B178" s="16">
        <v>30</v>
      </c>
      <c r="C178" s="17" t="s">
        <v>13</v>
      </c>
      <c r="D178" s="17" t="s">
        <v>14</v>
      </c>
      <c r="E178" s="17" t="s">
        <v>19</v>
      </c>
      <c r="F178" s="16">
        <v>8714</v>
      </c>
      <c r="G178" s="16">
        <v>18</v>
      </c>
      <c r="H178" s="17" t="s">
        <v>12</v>
      </c>
      <c r="I178" s="16">
        <v>5</v>
      </c>
    </row>
    <row r="179" ht="18.75" spans="1:9">
      <c r="A179" s="16">
        <v>178</v>
      </c>
      <c r="B179" s="16">
        <v>60</v>
      </c>
      <c r="C179" s="17" t="s">
        <v>13</v>
      </c>
      <c r="D179" s="17" t="s">
        <v>22</v>
      </c>
      <c r="E179" s="17" t="s">
        <v>11</v>
      </c>
      <c r="F179" s="16">
        <v>9667</v>
      </c>
      <c r="G179" s="16">
        <v>5</v>
      </c>
      <c r="H179" s="17" t="s">
        <v>12</v>
      </c>
      <c r="I179" s="16">
        <v>1</v>
      </c>
    </row>
    <row r="180" ht="18.75" spans="1:9">
      <c r="A180" s="16">
        <v>179</v>
      </c>
      <c r="B180" s="16">
        <v>37</v>
      </c>
      <c r="C180" s="17" t="s">
        <v>13</v>
      </c>
      <c r="D180" s="17" t="s">
        <v>17</v>
      </c>
      <c r="E180" s="17" t="s">
        <v>11</v>
      </c>
      <c r="F180" s="16">
        <v>15263</v>
      </c>
      <c r="G180" s="16">
        <v>9</v>
      </c>
      <c r="H180" s="17" t="s">
        <v>16</v>
      </c>
      <c r="I180" s="16">
        <v>3</v>
      </c>
    </row>
    <row r="181" ht="18.75" spans="1:9">
      <c r="A181" s="16">
        <v>180</v>
      </c>
      <c r="B181" s="16">
        <v>24</v>
      </c>
      <c r="C181" s="17" t="s">
        <v>13</v>
      </c>
      <c r="D181" s="17" t="s">
        <v>14</v>
      </c>
      <c r="E181" s="17" t="s">
        <v>11</v>
      </c>
      <c r="F181" s="16">
        <v>12354</v>
      </c>
      <c r="G181" s="16">
        <v>13</v>
      </c>
      <c r="H181" s="17" t="s">
        <v>12</v>
      </c>
      <c r="I181" s="16">
        <v>5</v>
      </c>
    </row>
    <row r="182" ht="18.75" spans="1:9">
      <c r="A182" s="16">
        <v>181</v>
      </c>
      <c r="B182" s="16">
        <v>43</v>
      </c>
      <c r="C182" s="17" t="s">
        <v>13</v>
      </c>
      <c r="D182" s="17" t="s">
        <v>22</v>
      </c>
      <c r="E182" s="17" t="s">
        <v>18</v>
      </c>
      <c r="F182" s="16">
        <v>17168</v>
      </c>
      <c r="G182" s="16">
        <v>1</v>
      </c>
      <c r="H182" s="17" t="s">
        <v>12</v>
      </c>
      <c r="I182" s="16">
        <v>2</v>
      </c>
    </row>
    <row r="183" ht="18.75" spans="1:9">
      <c r="A183" s="16">
        <v>182</v>
      </c>
      <c r="B183" s="16">
        <v>55</v>
      </c>
      <c r="C183" s="17" t="s">
        <v>9</v>
      </c>
      <c r="D183" s="17" t="s">
        <v>20</v>
      </c>
      <c r="E183" s="17" t="s">
        <v>19</v>
      </c>
      <c r="F183" s="16">
        <v>10873</v>
      </c>
      <c r="G183" s="16">
        <v>6</v>
      </c>
      <c r="H183" s="17" t="s">
        <v>12</v>
      </c>
      <c r="I183" s="16">
        <v>3</v>
      </c>
    </row>
    <row r="184" ht="18.75" spans="1:9">
      <c r="A184" s="16">
        <v>183</v>
      </c>
      <c r="B184" s="16">
        <v>34</v>
      </c>
      <c r="C184" s="17" t="s">
        <v>13</v>
      </c>
      <c r="D184" s="17" t="s">
        <v>14</v>
      </c>
      <c r="E184" s="17" t="s">
        <v>15</v>
      </c>
      <c r="F184" s="16">
        <v>15577</v>
      </c>
      <c r="G184" s="16">
        <v>0</v>
      </c>
      <c r="H184" s="17" t="s">
        <v>16</v>
      </c>
      <c r="I184" s="16">
        <v>3</v>
      </c>
    </row>
    <row r="185" ht="18.75" spans="1:9">
      <c r="A185" s="16">
        <v>184</v>
      </c>
      <c r="B185" s="16">
        <v>52</v>
      </c>
      <c r="C185" s="17" t="s">
        <v>13</v>
      </c>
      <c r="D185" s="17" t="s">
        <v>20</v>
      </c>
      <c r="E185" s="17" t="s">
        <v>19</v>
      </c>
      <c r="F185" s="16">
        <v>18772</v>
      </c>
      <c r="G185" s="16">
        <v>20</v>
      </c>
      <c r="H185" s="17" t="s">
        <v>12</v>
      </c>
      <c r="I185" s="16">
        <v>5</v>
      </c>
    </row>
    <row r="186" ht="18.75" spans="1:9">
      <c r="A186" s="16">
        <v>185</v>
      </c>
      <c r="B186" s="16">
        <v>30</v>
      </c>
      <c r="C186" s="17" t="s">
        <v>9</v>
      </c>
      <c r="D186" s="17" t="s">
        <v>14</v>
      </c>
      <c r="E186" s="17" t="s">
        <v>21</v>
      </c>
      <c r="F186" s="16">
        <v>5561</v>
      </c>
      <c r="G186" s="16">
        <v>1</v>
      </c>
      <c r="H186" s="17" t="s">
        <v>12</v>
      </c>
      <c r="I186" s="16">
        <v>3</v>
      </c>
    </row>
    <row r="187" ht="18.75" spans="1:9">
      <c r="A187" s="16">
        <v>186</v>
      </c>
      <c r="B187" s="16">
        <v>41</v>
      </c>
      <c r="C187" s="17" t="s">
        <v>13</v>
      </c>
      <c r="D187" s="17" t="s">
        <v>20</v>
      </c>
      <c r="E187" s="17" t="s">
        <v>21</v>
      </c>
      <c r="F187" s="16">
        <v>4062</v>
      </c>
      <c r="G187" s="16">
        <v>8</v>
      </c>
      <c r="H187" s="17" t="s">
        <v>12</v>
      </c>
      <c r="I187" s="16">
        <v>3</v>
      </c>
    </row>
    <row r="188" ht="18.75" spans="1:9">
      <c r="A188" s="16">
        <v>187</v>
      </c>
      <c r="B188" s="16">
        <v>28</v>
      </c>
      <c r="C188" s="17" t="s">
        <v>9</v>
      </c>
      <c r="D188" s="17" t="s">
        <v>10</v>
      </c>
      <c r="E188" s="17" t="s">
        <v>19</v>
      </c>
      <c r="F188" s="16">
        <v>10698</v>
      </c>
      <c r="G188" s="16">
        <v>8</v>
      </c>
      <c r="H188" s="17" t="s">
        <v>16</v>
      </c>
      <c r="I188" s="16">
        <v>5</v>
      </c>
    </row>
    <row r="189" ht="18.75" spans="1:9">
      <c r="A189" s="16">
        <v>188</v>
      </c>
      <c r="B189" s="16">
        <v>46</v>
      </c>
      <c r="C189" s="17" t="s">
        <v>9</v>
      </c>
      <c r="D189" s="17" t="s">
        <v>14</v>
      </c>
      <c r="E189" s="17" t="s">
        <v>11</v>
      </c>
      <c r="F189" s="16">
        <v>18979</v>
      </c>
      <c r="G189" s="16">
        <v>4</v>
      </c>
      <c r="H189" s="17" t="s">
        <v>16</v>
      </c>
      <c r="I189" s="16">
        <v>4</v>
      </c>
    </row>
    <row r="190" ht="18.75" spans="1:9">
      <c r="A190" s="16">
        <v>189</v>
      </c>
      <c r="B190" s="16">
        <v>31</v>
      </c>
      <c r="C190" s="17" t="s">
        <v>13</v>
      </c>
      <c r="D190" s="17" t="s">
        <v>10</v>
      </c>
      <c r="E190" s="17" t="s">
        <v>15</v>
      </c>
      <c r="F190" s="16">
        <v>15886</v>
      </c>
      <c r="G190" s="16">
        <v>13</v>
      </c>
      <c r="H190" s="17" t="s">
        <v>12</v>
      </c>
      <c r="I190" s="16">
        <v>3</v>
      </c>
    </row>
    <row r="191" ht="18.75" spans="1:9">
      <c r="A191" s="16">
        <v>190</v>
      </c>
      <c r="B191" s="16">
        <v>23</v>
      </c>
      <c r="C191" s="17" t="s">
        <v>13</v>
      </c>
      <c r="D191" s="17" t="s">
        <v>20</v>
      </c>
      <c r="E191" s="17" t="s">
        <v>19</v>
      </c>
      <c r="F191" s="16">
        <v>15738</v>
      </c>
      <c r="G191" s="16">
        <v>15</v>
      </c>
      <c r="H191" s="17" t="s">
        <v>12</v>
      </c>
      <c r="I191" s="16">
        <v>2</v>
      </c>
    </row>
    <row r="192" ht="18.75" spans="1:9">
      <c r="A192" s="16">
        <v>191</v>
      </c>
      <c r="B192" s="16">
        <v>25</v>
      </c>
      <c r="C192" s="17" t="s">
        <v>9</v>
      </c>
      <c r="D192" s="17" t="s">
        <v>10</v>
      </c>
      <c r="E192" s="17" t="s">
        <v>19</v>
      </c>
      <c r="F192" s="16">
        <v>4499</v>
      </c>
      <c r="G192" s="16">
        <v>3</v>
      </c>
      <c r="H192" s="17" t="s">
        <v>12</v>
      </c>
      <c r="I192" s="16">
        <v>1</v>
      </c>
    </row>
    <row r="193" ht="18.75" spans="1:9">
      <c r="A193" s="16">
        <v>192</v>
      </c>
      <c r="B193" s="16">
        <v>27</v>
      </c>
      <c r="C193" s="17" t="s">
        <v>13</v>
      </c>
      <c r="D193" s="17" t="s">
        <v>10</v>
      </c>
      <c r="E193" s="17" t="s">
        <v>11</v>
      </c>
      <c r="F193" s="16">
        <v>19966</v>
      </c>
      <c r="G193" s="16">
        <v>18</v>
      </c>
      <c r="H193" s="17" t="s">
        <v>12</v>
      </c>
      <c r="I193" s="16">
        <v>1</v>
      </c>
    </row>
    <row r="194" ht="18.75" spans="1:9">
      <c r="A194" s="16">
        <v>193</v>
      </c>
      <c r="B194" s="16">
        <v>45</v>
      </c>
      <c r="C194" s="17" t="s">
        <v>9</v>
      </c>
      <c r="D194" s="17" t="s">
        <v>17</v>
      </c>
      <c r="E194" s="17" t="s">
        <v>11</v>
      </c>
      <c r="F194" s="16">
        <v>8785</v>
      </c>
      <c r="G194" s="16">
        <v>9</v>
      </c>
      <c r="H194" s="17" t="s">
        <v>12</v>
      </c>
      <c r="I194" s="16">
        <v>5</v>
      </c>
    </row>
    <row r="195" ht="18.75" spans="1:9">
      <c r="A195" s="16">
        <v>194</v>
      </c>
      <c r="B195" s="16">
        <v>41</v>
      </c>
      <c r="C195" s="17" t="s">
        <v>9</v>
      </c>
      <c r="D195" s="17" t="s">
        <v>20</v>
      </c>
      <c r="E195" s="17" t="s">
        <v>18</v>
      </c>
      <c r="F195" s="16">
        <v>13737</v>
      </c>
      <c r="G195" s="16">
        <v>1</v>
      </c>
      <c r="H195" s="17" t="s">
        <v>16</v>
      </c>
      <c r="I195" s="16">
        <v>5</v>
      </c>
    </row>
    <row r="196" ht="18.75" spans="1:9">
      <c r="A196" s="16">
        <v>195</v>
      </c>
      <c r="B196" s="16">
        <v>28</v>
      </c>
      <c r="C196" s="17" t="s">
        <v>9</v>
      </c>
      <c r="D196" s="17" t="s">
        <v>17</v>
      </c>
      <c r="E196" s="17" t="s">
        <v>21</v>
      </c>
      <c r="F196" s="16">
        <v>11482</v>
      </c>
      <c r="G196" s="16">
        <v>4</v>
      </c>
      <c r="H196" s="17" t="s">
        <v>16</v>
      </c>
      <c r="I196" s="16">
        <v>4</v>
      </c>
    </row>
    <row r="197" ht="18.75" spans="1:9">
      <c r="A197" s="16">
        <v>196</v>
      </c>
      <c r="B197" s="16">
        <v>33</v>
      </c>
      <c r="C197" s="17" t="s">
        <v>9</v>
      </c>
      <c r="D197" s="17" t="s">
        <v>22</v>
      </c>
      <c r="E197" s="17" t="s">
        <v>19</v>
      </c>
      <c r="F197" s="16">
        <v>5139</v>
      </c>
      <c r="G197" s="16">
        <v>16</v>
      </c>
      <c r="H197" s="17" t="s">
        <v>12</v>
      </c>
      <c r="I197" s="16">
        <v>3</v>
      </c>
    </row>
    <row r="198" ht="18.75" spans="1:9">
      <c r="A198" s="16">
        <v>197</v>
      </c>
      <c r="B198" s="16">
        <v>48</v>
      </c>
      <c r="C198" s="17" t="s">
        <v>13</v>
      </c>
      <c r="D198" s="17" t="s">
        <v>20</v>
      </c>
      <c r="E198" s="17" t="s">
        <v>18</v>
      </c>
      <c r="F198" s="16">
        <v>7887</v>
      </c>
      <c r="G198" s="16">
        <v>3</v>
      </c>
      <c r="H198" s="17" t="s">
        <v>12</v>
      </c>
      <c r="I198" s="16">
        <v>4</v>
      </c>
    </row>
    <row r="199" ht="18.75" spans="1:9">
      <c r="A199" s="16">
        <v>198</v>
      </c>
      <c r="B199" s="16">
        <v>26</v>
      </c>
      <c r="C199" s="17" t="s">
        <v>9</v>
      </c>
      <c r="D199" s="17" t="s">
        <v>20</v>
      </c>
      <c r="E199" s="17" t="s">
        <v>18</v>
      </c>
      <c r="F199" s="16">
        <v>9711</v>
      </c>
      <c r="G199" s="16">
        <v>3</v>
      </c>
      <c r="H199" s="17" t="s">
        <v>12</v>
      </c>
      <c r="I199" s="16">
        <v>4</v>
      </c>
    </row>
    <row r="200" ht="18.75" spans="1:9">
      <c r="A200" s="16">
        <v>199</v>
      </c>
      <c r="B200" s="16">
        <v>53</v>
      </c>
      <c r="C200" s="17" t="s">
        <v>9</v>
      </c>
      <c r="D200" s="17" t="s">
        <v>10</v>
      </c>
      <c r="E200" s="17" t="s">
        <v>19</v>
      </c>
      <c r="F200" s="16">
        <v>11605</v>
      </c>
      <c r="G200" s="16">
        <v>2</v>
      </c>
      <c r="H200" s="17" t="s">
        <v>12</v>
      </c>
      <c r="I200" s="16">
        <v>3</v>
      </c>
    </row>
    <row r="201" ht="18.75" spans="1:9">
      <c r="A201" s="16">
        <v>200</v>
      </c>
      <c r="B201" s="16">
        <v>58</v>
      </c>
      <c r="C201" s="17" t="s">
        <v>9</v>
      </c>
      <c r="D201" s="17" t="s">
        <v>20</v>
      </c>
      <c r="E201" s="17" t="s">
        <v>11</v>
      </c>
      <c r="F201" s="16">
        <v>14723</v>
      </c>
      <c r="G201" s="16">
        <v>5</v>
      </c>
      <c r="H201" s="17" t="s">
        <v>16</v>
      </c>
      <c r="I201" s="16">
        <v>2</v>
      </c>
    </row>
  </sheetData>
  <conditionalFormatting sqref="D$1:D$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{ceb575af-a61e-4d75-9573-b51bad3a1409}</x14:id>
        </ext>
      </extLst>
    </cfRule>
  </conditionalFormatting>
  <conditionalFormatting sqref="F$1:F$1048576">
    <cfRule type="top10" dxfId="93" priority="6" rank="10"/>
    <cfRule type="cellIs" dxfId="94" priority="5" operator="greaterThan">
      <formula>11488</formula>
    </cfRule>
    <cfRule type="cellIs" dxfId="95" priority="4" operator="lessThan">
      <formula>3000</formula>
    </cfRule>
    <cfRule type="cellIs" dxfId="95" priority="3" operator="lessThan">
      <formula>4500</formula>
    </cfRule>
  </conditionalFormatting>
  <conditionalFormatting sqref="G$1:G$1048576">
    <cfRule type="top10" dxfId="96" priority="12" rank="10"/>
    <cfRule type="top10" dxfId="97" priority="11" percent="1" rank="10"/>
    <cfRule type="cellIs" dxfId="98" priority="10" operator="lessThan">
      <formula>10</formula>
    </cfRule>
  </conditionalFormatting>
  <conditionalFormatting sqref="H$1:H$1048576">
    <cfRule type="containsText" dxfId="99" priority="13" operator="between" text="yes">
      <formula>NOT(ISERROR(SEARCH("yes",H1)))</formula>
    </cfRule>
  </conditionalFormatting>
  <conditionalFormatting sqref="I$1:I$1048576">
    <cfRule type="cellIs" dxfId="100" priority="17" operator="lessThan">
      <formula>3</formula>
    </cfRule>
    <cfRule type="cellIs" dxfId="94" priority="16" operator="between">
      <formula>3</formula>
      <formula>5</formula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b575af-a61e-4d75-9573-b51bad3a1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D$1:D$1048576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"/>
  <sheetViews>
    <sheetView workbookViewId="0">
      <selection activeCell="G17" sqref="G17"/>
    </sheetView>
  </sheetViews>
  <sheetFormatPr defaultColWidth="9.14285714285714" defaultRowHeight="15" outlineLevelCol="1"/>
  <cols>
    <col min="1" max="1" width="12.1428571428571"/>
    <col min="2" max="2" width="21.5714285714286" style="14"/>
    <col min="3" max="3" width="11.1428571428571" customWidth="1"/>
    <col min="4" max="4" width="17.7142857142857" customWidth="1"/>
    <col min="5" max="5" width="15.7142857142857" customWidth="1"/>
    <col min="6" max="6" width="9.28571428571429" customWidth="1"/>
    <col min="7" max="7" width="24.5714285714286" customWidth="1"/>
    <col min="8" max="8" width="12.5714285714286" customWidth="1"/>
    <col min="9" max="9" width="21.5714285714286" customWidth="1"/>
    <col min="10" max="10" width="20.4285714285714" customWidth="1"/>
  </cols>
  <sheetData>
    <row r="1" spans="1:2">
      <c r="A1" s="11" t="s">
        <v>7</v>
      </c>
      <c r="B1" s="11" t="s">
        <v>23</v>
      </c>
    </row>
    <row r="2" spans="1:2">
      <c r="A2" s="11" t="s">
        <v>12</v>
      </c>
      <c r="B2" s="13">
        <v>0.715</v>
      </c>
    </row>
    <row r="3" spans="1:2">
      <c r="A3" s="11" t="s">
        <v>16</v>
      </c>
      <c r="B3" s="13">
        <v>0.285</v>
      </c>
    </row>
    <row r="4" spans="1:2">
      <c r="A4" s="11" t="s">
        <v>24</v>
      </c>
      <c r="B4" s="13">
        <v>1</v>
      </c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2" sqref="C2"/>
    </sheetView>
  </sheetViews>
  <sheetFormatPr defaultColWidth="9.14285714285714" defaultRowHeight="15" outlineLevelRow="3" outlineLevelCol="2"/>
  <cols>
    <col min="1" max="1" width="12.1428571428571"/>
    <col min="2" max="2" width="21.5714285714286" style="11"/>
    <col min="3" max="3" width="21.5714285714286" style="12"/>
  </cols>
  <sheetData>
    <row r="1" spans="1:3">
      <c r="A1" t="s">
        <v>7</v>
      </c>
      <c r="B1" s="11" t="s">
        <v>25</v>
      </c>
      <c r="C1" s="13" t="s">
        <v>23</v>
      </c>
    </row>
    <row r="2" spans="1:3">
      <c r="A2" t="s">
        <v>12</v>
      </c>
      <c r="B2" s="11">
        <v>14742</v>
      </c>
      <c r="C2" s="13">
        <v>0.715</v>
      </c>
    </row>
    <row r="3" spans="1:3">
      <c r="A3" t="s">
        <v>16</v>
      </c>
      <c r="B3" s="11">
        <v>5358</v>
      </c>
      <c r="C3" s="13">
        <v>0.285</v>
      </c>
    </row>
    <row r="4" spans="1:3">
      <c r="A4" t="s">
        <v>24</v>
      </c>
      <c r="B4" s="11">
        <v>20100</v>
      </c>
      <c r="C4" s="13">
        <v>1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4285714285714" defaultRowHeight="15" outlineLevelRow="1" outlineLevelCol="1"/>
  <cols>
    <col min="1" max="2" width="28.5714285714286"/>
  </cols>
  <sheetData>
    <row r="1" spans="1:2">
      <c r="A1" t="s">
        <v>26</v>
      </c>
      <c r="B1" t="s">
        <v>27</v>
      </c>
    </row>
    <row r="2" spans="1:2">
      <c r="A2" s="9">
        <v>9.855</v>
      </c>
      <c r="B2" s="10">
        <v>11302.715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B1" workbookViewId="0">
      <selection activeCell="B4" sqref="B4"/>
    </sheetView>
  </sheetViews>
  <sheetFormatPr defaultColWidth="9.14285714285714" defaultRowHeight="15" outlineLevelCol="1"/>
  <cols>
    <col min="1" max="1" width="14.5714285714286"/>
    <col min="2" max="2" width="21.5714285714286"/>
  </cols>
  <sheetData>
    <row r="3" spans="1:2">
      <c r="A3" t="s">
        <v>3</v>
      </c>
      <c r="B3" t="s">
        <v>23</v>
      </c>
    </row>
    <row r="4" spans="1:2">
      <c r="A4" t="s">
        <v>14</v>
      </c>
      <c r="B4">
        <v>51</v>
      </c>
    </row>
    <row r="5" spans="1:2">
      <c r="A5" t="s">
        <v>20</v>
      </c>
      <c r="B5">
        <v>40</v>
      </c>
    </row>
    <row r="6" spans="1:2">
      <c r="A6" t="s">
        <v>10</v>
      </c>
      <c r="B6">
        <v>34</v>
      </c>
    </row>
    <row r="7" spans="1:2">
      <c r="A7" t="s">
        <v>17</v>
      </c>
      <c r="B7">
        <v>41</v>
      </c>
    </row>
    <row r="8" spans="1:2">
      <c r="A8" t="s">
        <v>22</v>
      </c>
      <c r="B8">
        <v>34</v>
      </c>
    </row>
    <row r="9" spans="1:2">
      <c r="A9" t="s">
        <v>24</v>
      </c>
      <c r="B9">
        <v>200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6" sqref="D6"/>
    </sheetView>
  </sheetViews>
  <sheetFormatPr defaultColWidth="9.14285714285714" defaultRowHeight="15" outlineLevelRow="7" outlineLevelCol="3"/>
  <cols>
    <col min="1" max="1" width="18"/>
    <col min="2" max="3" width="11.1428571428571"/>
    <col min="4" max="4" width="11.8571428571429"/>
  </cols>
  <sheetData>
    <row r="1" spans="1:4">
      <c r="A1" t="s">
        <v>28</v>
      </c>
      <c r="B1" t="s">
        <v>7</v>
      </c>
    </row>
    <row r="2" spans="1:4">
      <c r="A2" t="s">
        <v>3</v>
      </c>
      <c r="B2" t="s">
        <v>12</v>
      </c>
      <c r="C2" t="s">
        <v>16</v>
      </c>
      <c r="D2" t="s">
        <v>24</v>
      </c>
    </row>
    <row r="3" spans="1:4">
      <c r="A3" t="s">
        <v>14</v>
      </c>
      <c r="B3">
        <v>39</v>
      </c>
      <c r="C3">
        <v>12</v>
      </c>
      <c r="D3">
        <v>51</v>
      </c>
    </row>
    <row r="4" spans="1:4">
      <c r="A4" t="s">
        <v>20</v>
      </c>
      <c r="B4">
        <v>32</v>
      </c>
      <c r="C4">
        <v>8</v>
      </c>
      <c r="D4">
        <v>40</v>
      </c>
    </row>
    <row r="5" spans="1:4">
      <c r="A5" t="s">
        <v>10</v>
      </c>
      <c r="B5">
        <v>18</v>
      </c>
      <c r="C5">
        <v>16</v>
      </c>
      <c r="D5">
        <v>34</v>
      </c>
    </row>
    <row r="6" spans="1:4">
      <c r="A6" t="s">
        <v>17</v>
      </c>
      <c r="B6">
        <v>27</v>
      </c>
      <c r="C6">
        <v>14</v>
      </c>
      <c r="D6">
        <v>41</v>
      </c>
    </row>
    <row r="7" spans="1:4">
      <c r="A7" t="s">
        <v>22</v>
      </c>
      <c r="B7">
        <v>27</v>
      </c>
      <c r="C7">
        <v>7</v>
      </c>
      <c r="D7">
        <v>34</v>
      </c>
    </row>
    <row r="8" spans="1:4">
      <c r="A8" t="s">
        <v>24</v>
      </c>
      <c r="B8">
        <v>143</v>
      </c>
      <c r="C8">
        <v>57</v>
      </c>
      <c r="D8">
        <v>200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2" sqref="B2"/>
    </sheetView>
  </sheetViews>
  <sheetFormatPr defaultColWidth="9.14285714285714" defaultRowHeight="15" outlineLevelRow="3" outlineLevelCol="1"/>
  <cols>
    <col min="1" max="1" width="12.1428571428571"/>
    <col min="2" max="2" width="17.7142857142857"/>
  </cols>
  <sheetData>
    <row r="1" spans="1:2">
      <c r="A1" t="s">
        <v>7</v>
      </c>
      <c r="B1" t="s">
        <v>27</v>
      </c>
    </row>
    <row r="2" spans="1:2">
      <c r="A2" t="s">
        <v>12</v>
      </c>
      <c r="B2" s="8">
        <v>11396.4825174825</v>
      </c>
    </row>
    <row r="3" spans="1:2">
      <c r="A3" t="s">
        <v>16</v>
      </c>
      <c r="B3" s="8">
        <v>11067.4736842105</v>
      </c>
    </row>
    <row r="4" spans="1:2">
      <c r="A4" t="s">
        <v>24</v>
      </c>
      <c r="B4" s="8">
        <v>11302.715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9" sqref="C9"/>
    </sheetView>
  </sheetViews>
  <sheetFormatPr defaultColWidth="9.14285714285714" defaultRowHeight="15" outlineLevelRow="6" outlineLevelCol="1"/>
  <cols>
    <col min="1" max="1" width="14.5714285714286"/>
    <col min="2" max="2" width="26.7142857142857"/>
  </cols>
  <sheetData>
    <row r="1" spans="1:2">
      <c r="A1" t="s">
        <v>3</v>
      </c>
      <c r="B1" t="s">
        <v>29</v>
      </c>
    </row>
    <row r="2" spans="1:2">
      <c r="A2" t="s">
        <v>14</v>
      </c>
      <c r="B2" s="8">
        <v>3.13725490196078</v>
      </c>
    </row>
    <row r="3" spans="1:2">
      <c r="A3" t="s">
        <v>20</v>
      </c>
      <c r="B3" s="8">
        <v>3.625</v>
      </c>
    </row>
    <row r="4" spans="1:2">
      <c r="A4" t="s">
        <v>10</v>
      </c>
      <c r="B4" s="8">
        <v>3.05882352941176</v>
      </c>
    </row>
    <row r="5" spans="1:2">
      <c r="A5" t="s">
        <v>17</v>
      </c>
      <c r="B5" s="8">
        <v>3.26829268292683</v>
      </c>
    </row>
    <row r="6" spans="1:2">
      <c r="A6" t="s">
        <v>22</v>
      </c>
      <c r="B6" s="8">
        <v>2.5</v>
      </c>
    </row>
    <row r="7" spans="1:2">
      <c r="A7" t="s">
        <v>24</v>
      </c>
      <c r="B7">
        <v>3.14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J19" sqref="J19"/>
    </sheetView>
  </sheetViews>
  <sheetFormatPr defaultColWidth="9.14285714285714" defaultRowHeight="15" outlineLevelRow="6" outlineLevelCol="1"/>
  <cols>
    <col min="1" max="1" width="14.5714285714286"/>
    <col min="2" max="2" width="13.8571428571429"/>
  </cols>
  <sheetData>
    <row r="1" spans="1:2">
      <c r="A1" t="s">
        <v>3</v>
      </c>
      <c r="B1" t="s">
        <v>30</v>
      </c>
    </row>
    <row r="2" spans="1:2">
      <c r="A2" t="s">
        <v>14</v>
      </c>
      <c r="B2">
        <v>554409</v>
      </c>
    </row>
    <row r="3" spans="1:2">
      <c r="A3" t="s">
        <v>20</v>
      </c>
      <c r="B3">
        <v>451854</v>
      </c>
    </row>
    <row r="4" spans="1:2">
      <c r="A4" t="s">
        <v>10</v>
      </c>
      <c r="B4">
        <v>372486</v>
      </c>
    </row>
    <row r="5" spans="1:2">
      <c r="A5" t="s">
        <v>17</v>
      </c>
      <c r="B5">
        <v>511634</v>
      </c>
    </row>
    <row r="6" spans="1:2">
      <c r="A6" t="s">
        <v>22</v>
      </c>
      <c r="B6">
        <v>370160</v>
      </c>
    </row>
    <row r="7" spans="1:2">
      <c r="A7" t="s">
        <v>24</v>
      </c>
      <c r="B7">
        <v>2260543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7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6" outlineLevelCol="1"/>
  <cols>
    <col min="1" max="1" width="14.5714285714286"/>
    <col min="2" max="2" width="17.7142857142857"/>
  </cols>
  <sheetData>
    <row r="1" spans="1:2">
      <c r="A1" t="s">
        <v>3</v>
      </c>
      <c r="B1" t="s">
        <v>27</v>
      </c>
    </row>
    <row r="2" spans="1:2">
      <c r="A2" t="s">
        <v>14</v>
      </c>
      <c r="B2" s="8">
        <v>10870.7647058824</v>
      </c>
    </row>
    <row r="3" spans="1:2">
      <c r="A3" t="s">
        <v>20</v>
      </c>
      <c r="B3" s="8">
        <v>11296.35</v>
      </c>
    </row>
    <row r="4" spans="1:2">
      <c r="A4" t="s">
        <v>10</v>
      </c>
      <c r="B4" s="8">
        <v>10955.4705882353</v>
      </c>
    </row>
    <row r="5" spans="1:2">
      <c r="A5" t="s">
        <v>17</v>
      </c>
      <c r="B5" s="8">
        <v>12478.8780487805</v>
      </c>
    </row>
    <row r="6" spans="1:2">
      <c r="A6" t="s">
        <v>22</v>
      </c>
      <c r="B6" s="8">
        <v>10887.0588235294</v>
      </c>
    </row>
    <row r="7" spans="1:2">
      <c r="A7" t="s">
        <v>24</v>
      </c>
      <c r="B7" s="8">
        <v>11302.715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zoomScale="60" zoomScaleNormal="60" workbookViewId="0">
      <selection activeCell="V13" sqref="V13"/>
    </sheetView>
  </sheetViews>
  <sheetFormatPr defaultColWidth="9.14285714285714" defaultRowHeight="15"/>
  <cols>
    <col min="1" max="1" width="34.5714285714286" customWidth="1"/>
    <col min="3" max="3" width="56.7142857142857" customWidth="1"/>
    <col min="11" max="11" width="21.2857142857143" customWidth="1"/>
  </cols>
  <sheetData>
    <row r="1" ht="26.25" spans="1:11">
      <c r="K1" s="1" t="s">
        <v>31</v>
      </c>
    </row>
    <row r="2" ht="15.75"/>
    <row r="3" ht="28.5" spans="1:11">
      <c r="A3" s="2" t="s">
        <v>32</v>
      </c>
      <c r="C3" s="3" t="s">
        <v>33</v>
      </c>
    </row>
    <row r="4" ht="32.25" spans="1:11">
      <c r="A4" s="4">
        <f>AVERAGE('HR Data'!F:F)</f>
        <v>11302.715</v>
      </c>
      <c r="C4" s="5">
        <f>AVERAGE('HR Data'!G:G)</f>
        <v>9.855</v>
      </c>
    </row>
    <row r="5" ht="15.75"/>
    <row r="6" ht="28.5" spans="1:11">
      <c r="A6" s="3" t="s">
        <v>34</v>
      </c>
      <c r="C6" s="3" t="s">
        <v>35</v>
      </c>
    </row>
    <row r="7" ht="32.25" spans="1:11">
      <c r="A7" s="6">
        <f>MAX('HR Data'!F:F)</f>
        <v>19966</v>
      </c>
      <c r="C7" s="5">
        <f>MAX('HR Data'!G:G)</f>
        <v>20</v>
      </c>
    </row>
    <row r="8" ht="15.75"/>
    <row r="9" ht="28.5" spans="1:11">
      <c r="A9" s="3" t="s">
        <v>36</v>
      </c>
      <c r="C9" s="3" t="s">
        <v>37</v>
      </c>
    </row>
    <row r="10" ht="32.25" spans="1:11">
      <c r="A10" s="5">
        <f>MIN('HR Data'!F:F)</f>
        <v>3010</v>
      </c>
      <c r="C10" s="5">
        <f>MIN('HR Data'!G:G)</f>
        <v>0</v>
      </c>
    </row>
    <row r="11" ht="15.75"/>
    <row r="12" ht="31.5" spans="1:11">
      <c r="A12" s="3" t="s">
        <v>38</v>
      </c>
      <c r="C12" s="7" t="s">
        <v>39</v>
      </c>
    </row>
    <row r="13" ht="32.25" spans="1:11">
      <c r="A13" s="5">
        <f>MEDIAN('HR Data'!F:F)</f>
        <v>11022</v>
      </c>
      <c r="C13" s="5">
        <f>MEDIAN('HR Data'!G:G)</f>
        <v>10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HR Data</vt:lpstr>
      <vt:lpstr>count of Attrition</vt:lpstr>
      <vt:lpstr>sum of employee ID</vt:lpstr>
      <vt:lpstr>Average (Salary,Years )</vt:lpstr>
      <vt:lpstr>count of employee</vt:lpstr>
      <vt:lpstr>Depatment</vt:lpstr>
      <vt:lpstr>Average Salary</vt:lpstr>
      <vt:lpstr>Average Job Satisfaction</vt:lpstr>
      <vt:lpstr>Salary by Department</vt:lpstr>
      <vt:lpstr>Average salary by department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krkr</cp:lastModifiedBy>
  <dcterms:created xsi:type="dcterms:W3CDTF">2026-04-27T14:57:00Z</dcterms:created>
  <dcterms:modified xsi:type="dcterms:W3CDTF">2026-04-27T17:26:55Z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22C56ADBCCF647858F8BF12B47F14198_12</vt:lpwstr>
  </property>
</Properties>
</file>